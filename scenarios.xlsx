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erez12\Documents\GitHub\Hydra_selftest_OM\"/>
    </mc:Choice>
  </mc:AlternateContent>
  <xr:revisionPtr revIDLastSave="0" documentId="13_ncr:1_{1453126B-A51F-44EA-B9BA-68BDBDE0D0B3}" xr6:coauthVersionLast="47" xr6:coauthVersionMax="47" xr10:uidLastSave="{00000000-0000-0000-0000-000000000000}"/>
  <bookViews>
    <workbookView xWindow="-110" yWindow="-110" windowWidth="19420" windowHeight="10420" xr2:uid="{DB89CE34-BF23-46D9-82BC-DA586261529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C16" i="1"/>
  <c r="S60" i="1"/>
  <c r="R60" i="1"/>
  <c r="H5" i="1"/>
  <c r="H6" i="1" s="1"/>
  <c r="E9" i="3"/>
  <c r="E8" i="3"/>
  <c r="AW34" i="3"/>
  <c r="AV34" i="3"/>
  <c r="AU34" i="3"/>
  <c r="AT34" i="3"/>
  <c r="AS34" i="3"/>
  <c r="AR34" i="3"/>
  <c r="AR35" i="3" s="1"/>
  <c r="AQ34" i="3"/>
  <c r="AQ35" i="3" s="1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B35" i="3" s="1"/>
  <c r="AA34" i="3"/>
  <c r="AA35" i="3" s="1"/>
  <c r="Z34" i="3"/>
  <c r="Y34" i="3"/>
  <c r="Y35" i="3" s="1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L35" i="3" s="1"/>
  <c r="K34" i="3"/>
  <c r="K35" i="3" s="1"/>
  <c r="J34" i="3"/>
  <c r="I34" i="3"/>
  <c r="I35" i="3" s="1"/>
  <c r="H34" i="3"/>
  <c r="AW30" i="3"/>
  <c r="AV30" i="3"/>
  <c r="AU30" i="3"/>
  <c r="AT30" i="3"/>
  <c r="AS30" i="3"/>
  <c r="AR30" i="3"/>
  <c r="AQ30" i="3"/>
  <c r="AQ31" i="3" s="1"/>
  <c r="AP30" i="3"/>
  <c r="AP31" i="3" s="1"/>
  <c r="AO30" i="3"/>
  <c r="AO31" i="3" s="1"/>
  <c r="AN30" i="3"/>
  <c r="AN31" i="3" s="1"/>
  <c r="AM30" i="3"/>
  <c r="AL30" i="3"/>
  <c r="AL31" i="3" s="1"/>
  <c r="AK30" i="3"/>
  <c r="AK31" i="3" s="1"/>
  <c r="AJ30" i="3"/>
  <c r="AI30" i="3"/>
  <c r="AH30" i="3"/>
  <c r="AG30" i="3"/>
  <c r="AG31" i="3" s="1"/>
  <c r="AF30" i="3"/>
  <c r="AF31" i="3" s="1"/>
  <c r="AE30" i="3"/>
  <c r="AD30" i="3"/>
  <c r="AD31" i="3" s="1"/>
  <c r="AC30" i="3"/>
  <c r="AC31" i="3" s="1"/>
  <c r="AB30" i="3"/>
  <c r="AB31" i="3" s="1"/>
  <c r="AA30" i="3"/>
  <c r="AA31" i="3" s="1"/>
  <c r="Z30" i="3"/>
  <c r="Z31" i="3" s="1"/>
  <c r="Y30" i="3"/>
  <c r="Y31" i="3" s="1"/>
  <c r="X30" i="3"/>
  <c r="X31" i="3" s="1"/>
  <c r="W30" i="3"/>
  <c r="V30" i="3"/>
  <c r="V31" i="3" s="1"/>
  <c r="U30" i="3"/>
  <c r="U31" i="3" s="1"/>
  <c r="T30" i="3"/>
  <c r="S30" i="3"/>
  <c r="R30" i="3"/>
  <c r="Q30" i="3"/>
  <c r="P30" i="3"/>
  <c r="P31" i="3" s="1"/>
  <c r="O30" i="3"/>
  <c r="O31" i="3" s="1"/>
  <c r="N30" i="3"/>
  <c r="M30" i="3"/>
  <c r="L30" i="3"/>
  <c r="K30" i="3"/>
  <c r="K31" i="3" s="1"/>
  <c r="J30" i="3"/>
  <c r="J31" i="3" s="1"/>
  <c r="I30" i="3"/>
  <c r="I31" i="3" s="1"/>
  <c r="H30" i="3"/>
  <c r="H31" i="3" s="1"/>
  <c r="AW26" i="3"/>
  <c r="AW27" i="3" s="1"/>
  <c r="AV26" i="3"/>
  <c r="AU26" i="3"/>
  <c r="AT26" i="3"/>
  <c r="AS26" i="3"/>
  <c r="AR26" i="3"/>
  <c r="AR27" i="3" s="1"/>
  <c r="AQ26" i="3"/>
  <c r="AP26" i="3"/>
  <c r="AO26" i="3"/>
  <c r="AN26" i="3"/>
  <c r="AM26" i="3"/>
  <c r="AL26" i="3"/>
  <c r="AK26" i="3"/>
  <c r="AJ26" i="3"/>
  <c r="AJ27" i="3" s="1"/>
  <c r="AI26" i="3"/>
  <c r="AI27" i="3" s="1"/>
  <c r="AH26" i="3"/>
  <c r="AH27" i="3" s="1"/>
  <c r="AG26" i="3"/>
  <c r="AG27" i="3" s="1"/>
  <c r="AF26" i="3"/>
  <c r="AE26" i="3"/>
  <c r="AD26" i="3"/>
  <c r="AC26" i="3"/>
  <c r="AB26" i="3"/>
  <c r="AB27" i="3" s="1"/>
  <c r="AA26" i="3"/>
  <c r="Z26" i="3"/>
  <c r="Y26" i="3"/>
  <c r="X26" i="3"/>
  <c r="W26" i="3"/>
  <c r="V26" i="3"/>
  <c r="U26" i="3"/>
  <c r="T26" i="3"/>
  <c r="T27" i="3" s="1"/>
  <c r="S26" i="3"/>
  <c r="S27" i="3" s="1"/>
  <c r="R26" i="3"/>
  <c r="R27" i="3" s="1"/>
  <c r="Q26" i="3"/>
  <c r="Q27" i="3" s="1"/>
  <c r="P26" i="3"/>
  <c r="O26" i="3"/>
  <c r="N26" i="3"/>
  <c r="M26" i="3"/>
  <c r="L26" i="3"/>
  <c r="L27" i="3" s="1"/>
  <c r="K26" i="3"/>
  <c r="J26" i="3"/>
  <c r="I26" i="3"/>
  <c r="H26" i="3"/>
  <c r="W23" i="3"/>
  <c r="U23" i="3"/>
  <c r="AW22" i="3"/>
  <c r="AW23" i="3" s="1"/>
  <c r="AV22" i="3"/>
  <c r="AV23" i="3" s="1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I23" i="3" s="1"/>
  <c r="AH22" i="3"/>
  <c r="AG22" i="3"/>
  <c r="AG23" i="3" s="1"/>
  <c r="AF22" i="3"/>
  <c r="AF23" i="3" s="1"/>
  <c r="AE22" i="3"/>
  <c r="AD22" i="3"/>
  <c r="AC22" i="3"/>
  <c r="AB22" i="3"/>
  <c r="AA22" i="3"/>
  <c r="Z22" i="3"/>
  <c r="Y22" i="3"/>
  <c r="X22" i="3"/>
  <c r="X23" i="3" s="1"/>
  <c r="W22" i="3"/>
  <c r="V22" i="3"/>
  <c r="V23" i="3" s="1"/>
  <c r="U22" i="3"/>
  <c r="T22" i="3"/>
  <c r="T23" i="3" s="1"/>
  <c r="S22" i="3"/>
  <c r="S23" i="3" s="1"/>
  <c r="R22" i="3"/>
  <c r="Q22" i="3"/>
  <c r="Q23" i="3" s="1"/>
  <c r="P22" i="3"/>
  <c r="P23" i="3" s="1"/>
  <c r="O22" i="3"/>
  <c r="N22" i="3"/>
  <c r="M22" i="3"/>
  <c r="L22" i="3"/>
  <c r="K22" i="3"/>
  <c r="J22" i="3"/>
  <c r="I22" i="3"/>
  <c r="I23" i="3" s="1"/>
  <c r="H22" i="3"/>
  <c r="AR11" i="3"/>
  <c r="AQ11" i="3"/>
  <c r="AP11" i="3"/>
  <c r="AO11" i="3"/>
  <c r="AB11" i="3"/>
  <c r="AA11" i="3"/>
  <c r="Z11" i="3"/>
  <c r="Y11" i="3"/>
  <c r="T11" i="3"/>
  <c r="L11" i="3"/>
  <c r="K11" i="3"/>
  <c r="J11" i="3"/>
  <c r="I11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J11" i="3" s="1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AW6" i="3"/>
  <c r="AV6" i="3"/>
  <c r="AU6" i="3"/>
  <c r="AT6" i="3"/>
  <c r="AS6" i="3"/>
  <c r="AH6" i="3"/>
  <c r="AG6" i="3"/>
  <c r="AF6" i="3"/>
  <c r="AE6" i="3"/>
  <c r="AD6" i="3"/>
  <c r="AC6" i="3"/>
  <c r="R6" i="3"/>
  <c r="Q6" i="3"/>
  <c r="P6" i="3"/>
  <c r="O6" i="3"/>
  <c r="N6" i="3"/>
  <c r="M6" i="3"/>
  <c r="AW5" i="3"/>
  <c r="AV5" i="3"/>
  <c r="AU5" i="3"/>
  <c r="AT5" i="3"/>
  <c r="AS5" i="3"/>
  <c r="AR5" i="3"/>
  <c r="AQ5" i="3"/>
  <c r="AP5" i="3"/>
  <c r="AO5" i="3"/>
  <c r="AO6" i="3" s="1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Y6" i="3" s="1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I6" i="3" s="1"/>
  <c r="H5" i="3"/>
  <c r="E5" i="3"/>
  <c r="AW35" i="3" s="1"/>
  <c r="E4" i="3"/>
  <c r="AL6" i="3" s="1"/>
  <c r="H27" i="2"/>
  <c r="H26" i="2"/>
  <c r="I26" i="2"/>
  <c r="J26" i="2"/>
  <c r="K26" i="2"/>
  <c r="L26" i="2"/>
  <c r="M26" i="2"/>
  <c r="M27" i="2" s="1"/>
  <c r="N26" i="2"/>
  <c r="O26" i="2"/>
  <c r="P26" i="2"/>
  <c r="Q26" i="2"/>
  <c r="R26" i="2"/>
  <c r="R27" i="2" s="1"/>
  <c r="S26" i="2"/>
  <c r="T26" i="2"/>
  <c r="U26" i="2"/>
  <c r="U27" i="2" s="1"/>
  <c r="V26" i="2"/>
  <c r="W26" i="2"/>
  <c r="X26" i="2"/>
  <c r="Y26" i="2"/>
  <c r="Z26" i="2"/>
  <c r="AA26" i="2"/>
  <c r="AB26" i="2"/>
  <c r="AC26" i="2"/>
  <c r="AC27" i="2" s="1"/>
  <c r="AD26" i="2"/>
  <c r="AE26" i="2"/>
  <c r="AF26" i="2"/>
  <c r="AG26" i="2"/>
  <c r="AH26" i="2"/>
  <c r="AI26" i="2"/>
  <c r="AJ26" i="2"/>
  <c r="AK26" i="2"/>
  <c r="AK27" i="2" s="1"/>
  <c r="AL26" i="2"/>
  <c r="AM26" i="2"/>
  <c r="AN26" i="2"/>
  <c r="AO26" i="2"/>
  <c r="AP26" i="2"/>
  <c r="AQ26" i="2"/>
  <c r="AR26" i="2"/>
  <c r="AS26" i="2"/>
  <c r="AS27" i="2" s="1"/>
  <c r="AT26" i="2"/>
  <c r="AU26" i="2"/>
  <c r="AV26" i="2"/>
  <c r="AW26" i="2"/>
  <c r="I15" i="2"/>
  <c r="J15" i="2"/>
  <c r="K15" i="2"/>
  <c r="L15" i="2"/>
  <c r="S15" i="2"/>
  <c r="V15" i="2"/>
  <c r="Y15" i="2"/>
  <c r="Z15" i="2"/>
  <c r="AA15" i="2"/>
  <c r="AB15" i="2"/>
  <c r="AI15" i="2"/>
  <c r="AL15" i="2"/>
  <c r="AO15" i="2"/>
  <c r="AP15" i="2"/>
  <c r="AQ15" i="2"/>
  <c r="AR15" i="2"/>
  <c r="I23" i="2"/>
  <c r="J23" i="2"/>
  <c r="L23" i="2"/>
  <c r="P23" i="2"/>
  <c r="Q23" i="2"/>
  <c r="R23" i="2"/>
  <c r="T23" i="2"/>
  <c r="Y23" i="2"/>
  <c r="Z23" i="2"/>
  <c r="AB23" i="2"/>
  <c r="AF23" i="2"/>
  <c r="AG23" i="2"/>
  <c r="AH23" i="2"/>
  <c r="AJ23" i="2"/>
  <c r="AO23" i="2"/>
  <c r="AP23" i="2"/>
  <c r="AR23" i="2"/>
  <c r="AV23" i="2"/>
  <c r="AW23" i="2"/>
  <c r="H23" i="2"/>
  <c r="AL27" i="2"/>
  <c r="AH27" i="2"/>
  <c r="V27" i="2"/>
  <c r="AW22" i="2"/>
  <c r="AV22" i="2"/>
  <c r="AU22" i="2"/>
  <c r="AU23" i="2" s="1"/>
  <c r="AT22" i="2"/>
  <c r="AT23" i="2" s="1"/>
  <c r="AS22" i="2"/>
  <c r="AS23" i="2" s="1"/>
  <c r="AR22" i="2"/>
  <c r="AQ22" i="2"/>
  <c r="AQ23" i="2" s="1"/>
  <c r="AP22" i="2"/>
  <c r="AO22" i="2"/>
  <c r="AN22" i="2"/>
  <c r="AN23" i="2" s="1"/>
  <c r="AM22" i="2"/>
  <c r="AM23" i="2" s="1"/>
  <c r="AL22" i="2"/>
  <c r="AL23" i="2" s="1"/>
  <c r="AK22" i="2"/>
  <c r="AK23" i="2" s="1"/>
  <c r="AJ22" i="2"/>
  <c r="AI22" i="2"/>
  <c r="AI23" i="2" s="1"/>
  <c r="AH22" i="2"/>
  <c r="AG22" i="2"/>
  <c r="AF22" i="2"/>
  <c r="AE22" i="2"/>
  <c r="AE23" i="2" s="1"/>
  <c r="AD22" i="2"/>
  <c r="AD23" i="2" s="1"/>
  <c r="AC22" i="2"/>
  <c r="AC23" i="2" s="1"/>
  <c r="AB22" i="2"/>
  <c r="AA22" i="2"/>
  <c r="AA23" i="2" s="1"/>
  <c r="Z22" i="2"/>
  <c r="Y22" i="2"/>
  <c r="X22" i="2"/>
  <c r="X23" i="2" s="1"/>
  <c r="W22" i="2"/>
  <c r="W23" i="2" s="1"/>
  <c r="V22" i="2"/>
  <c r="V23" i="2" s="1"/>
  <c r="U22" i="2"/>
  <c r="U23" i="2" s="1"/>
  <c r="T22" i="2"/>
  <c r="S22" i="2"/>
  <c r="S23" i="2" s="1"/>
  <c r="R22" i="2"/>
  <c r="Q22" i="2"/>
  <c r="P22" i="2"/>
  <c r="O22" i="2"/>
  <c r="O23" i="2" s="1"/>
  <c r="N22" i="2"/>
  <c r="N23" i="2" s="1"/>
  <c r="M22" i="2"/>
  <c r="M23" i="2" s="1"/>
  <c r="L22" i="2"/>
  <c r="K22" i="2"/>
  <c r="K23" i="2" s="1"/>
  <c r="J22" i="2"/>
  <c r="I22" i="2"/>
  <c r="H22" i="2"/>
  <c r="AT19" i="2"/>
  <c r="AS19" i="2"/>
  <c r="AD19" i="2"/>
  <c r="N19" i="2"/>
  <c r="M19" i="2"/>
  <c r="J19" i="2"/>
  <c r="AW18" i="2"/>
  <c r="AV18" i="2"/>
  <c r="AU18" i="2"/>
  <c r="AT18" i="2"/>
  <c r="AS18" i="2"/>
  <c r="AR18" i="2"/>
  <c r="AQ18" i="2"/>
  <c r="AP18" i="2"/>
  <c r="AP19" i="2" s="1"/>
  <c r="AO18" i="2"/>
  <c r="AN18" i="2"/>
  <c r="AM18" i="2"/>
  <c r="AL18" i="2"/>
  <c r="AK18" i="2"/>
  <c r="AK19" i="2" s="1"/>
  <c r="AJ18" i="2"/>
  <c r="AI18" i="2"/>
  <c r="AH18" i="2"/>
  <c r="AG18" i="2"/>
  <c r="AF18" i="2"/>
  <c r="AE18" i="2"/>
  <c r="AD18" i="2"/>
  <c r="AC18" i="2"/>
  <c r="AC19" i="2" s="1"/>
  <c r="AB18" i="2"/>
  <c r="AA18" i="2"/>
  <c r="Z18" i="2"/>
  <c r="Z19" i="2" s="1"/>
  <c r="Y18" i="2"/>
  <c r="X18" i="2"/>
  <c r="W18" i="2"/>
  <c r="V18" i="2"/>
  <c r="U18" i="2"/>
  <c r="U19" i="2" s="1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AW14" i="2"/>
  <c r="AW15" i="2" s="1"/>
  <c r="AV14" i="2"/>
  <c r="AV15" i="2" s="1"/>
  <c r="AU14" i="2"/>
  <c r="AU15" i="2" s="1"/>
  <c r="AT14" i="2"/>
  <c r="AT15" i="2" s="1"/>
  <c r="AS14" i="2"/>
  <c r="AS15" i="2" s="1"/>
  <c r="AR14" i="2"/>
  <c r="AQ14" i="2"/>
  <c r="AP14" i="2"/>
  <c r="AO14" i="2"/>
  <c r="AN14" i="2"/>
  <c r="AN15" i="2" s="1"/>
  <c r="AM14" i="2"/>
  <c r="AM15" i="2" s="1"/>
  <c r="AL14" i="2"/>
  <c r="AK14" i="2"/>
  <c r="AK15" i="2" s="1"/>
  <c r="AJ14" i="2"/>
  <c r="AJ15" i="2" s="1"/>
  <c r="AI14" i="2"/>
  <c r="AH14" i="2"/>
  <c r="AH15" i="2" s="1"/>
  <c r="AG14" i="2"/>
  <c r="AG15" i="2" s="1"/>
  <c r="AF14" i="2"/>
  <c r="AF15" i="2" s="1"/>
  <c r="AE14" i="2"/>
  <c r="AE15" i="2" s="1"/>
  <c r="AD14" i="2"/>
  <c r="AD15" i="2" s="1"/>
  <c r="AC14" i="2"/>
  <c r="AC15" i="2" s="1"/>
  <c r="AB14" i="2"/>
  <c r="AA14" i="2"/>
  <c r="Z14" i="2"/>
  <c r="Y14" i="2"/>
  <c r="X14" i="2"/>
  <c r="X15" i="2" s="1"/>
  <c r="W14" i="2"/>
  <c r="W15" i="2" s="1"/>
  <c r="V14" i="2"/>
  <c r="U14" i="2"/>
  <c r="U15" i="2" s="1"/>
  <c r="T14" i="2"/>
  <c r="T15" i="2" s="1"/>
  <c r="S14" i="2"/>
  <c r="R14" i="2"/>
  <c r="R15" i="2" s="1"/>
  <c r="Q14" i="2"/>
  <c r="Q15" i="2" s="1"/>
  <c r="P14" i="2"/>
  <c r="P15" i="2" s="1"/>
  <c r="O14" i="2"/>
  <c r="O15" i="2" s="1"/>
  <c r="N14" i="2"/>
  <c r="N15" i="2" s="1"/>
  <c r="M14" i="2"/>
  <c r="M15" i="2" s="1"/>
  <c r="L14" i="2"/>
  <c r="K14" i="2"/>
  <c r="J14" i="2"/>
  <c r="I14" i="2"/>
  <c r="H14" i="2"/>
  <c r="H15" i="2" s="1"/>
  <c r="AT11" i="2"/>
  <c r="AS11" i="2"/>
  <c r="AL11" i="2"/>
  <c r="AK11" i="2"/>
  <c r="AI11" i="2"/>
  <c r="AH11" i="2"/>
  <c r="AD11" i="2"/>
  <c r="AC11" i="2"/>
  <c r="V11" i="2"/>
  <c r="U11" i="2"/>
  <c r="S11" i="2"/>
  <c r="R11" i="2"/>
  <c r="N11" i="2"/>
  <c r="M11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D8" i="2"/>
  <c r="AQ6" i="2"/>
  <c r="AN6" i="2"/>
  <c r="AI6" i="2"/>
  <c r="AB6" i="2"/>
  <c r="AA6" i="2"/>
  <c r="X6" i="2"/>
  <c r="S6" i="2"/>
  <c r="K6" i="2"/>
  <c r="H6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E5" i="2"/>
  <c r="E4" i="2"/>
  <c r="O27" i="1"/>
  <c r="P27" i="1"/>
  <c r="Q27" i="1"/>
  <c r="V27" i="1"/>
  <c r="W27" i="1"/>
  <c r="X27" i="1"/>
  <c r="AE27" i="1"/>
  <c r="AF27" i="1"/>
  <c r="AG27" i="1"/>
  <c r="AL27" i="1"/>
  <c r="AM27" i="1"/>
  <c r="AN27" i="1"/>
  <c r="AU27" i="1"/>
  <c r="AV27" i="1"/>
  <c r="AW27" i="1"/>
  <c r="I26" i="1"/>
  <c r="I27" i="1" s="1"/>
  <c r="J26" i="1"/>
  <c r="J27" i="1" s="1"/>
  <c r="K26" i="1"/>
  <c r="K27" i="1" s="1"/>
  <c r="L26" i="1"/>
  <c r="L27" i="1" s="1"/>
  <c r="M26" i="1"/>
  <c r="M27" i="1" s="1"/>
  <c r="N26" i="1"/>
  <c r="N27" i="1" s="1"/>
  <c r="O26" i="1"/>
  <c r="P26" i="1"/>
  <c r="Q26" i="1"/>
  <c r="R26" i="1"/>
  <c r="R27" i="1" s="1"/>
  <c r="S26" i="1"/>
  <c r="S27" i="1" s="1"/>
  <c r="T26" i="1"/>
  <c r="T27" i="1" s="1"/>
  <c r="U26" i="1"/>
  <c r="U27" i="1" s="1"/>
  <c r="V26" i="1"/>
  <c r="W26" i="1"/>
  <c r="X26" i="1"/>
  <c r="Y26" i="1"/>
  <c r="Y27" i="1" s="1"/>
  <c r="Z26" i="1"/>
  <c r="Z27" i="1" s="1"/>
  <c r="AA26" i="1"/>
  <c r="AA27" i="1" s="1"/>
  <c r="AB26" i="1"/>
  <c r="AB27" i="1" s="1"/>
  <c r="AC26" i="1"/>
  <c r="AC27" i="1" s="1"/>
  <c r="AD26" i="1"/>
  <c r="AD27" i="1" s="1"/>
  <c r="AE26" i="1"/>
  <c r="AF26" i="1"/>
  <c r="AG26" i="1"/>
  <c r="AH26" i="1"/>
  <c r="AH27" i="1" s="1"/>
  <c r="AI26" i="1"/>
  <c r="AI27" i="1" s="1"/>
  <c r="AJ26" i="1"/>
  <c r="AJ27" i="1" s="1"/>
  <c r="AK26" i="1"/>
  <c r="AK27" i="1" s="1"/>
  <c r="AL26" i="1"/>
  <c r="AM26" i="1"/>
  <c r="AN26" i="1"/>
  <c r="AO26" i="1"/>
  <c r="AO27" i="1" s="1"/>
  <c r="AP26" i="1"/>
  <c r="AP27" i="1" s="1"/>
  <c r="AQ26" i="1"/>
  <c r="AQ27" i="1" s="1"/>
  <c r="AR26" i="1"/>
  <c r="AR27" i="1" s="1"/>
  <c r="AS26" i="1"/>
  <c r="AS27" i="1" s="1"/>
  <c r="AT26" i="1"/>
  <c r="AT27" i="1" s="1"/>
  <c r="AU26" i="1"/>
  <c r="AV26" i="1"/>
  <c r="AW26" i="1"/>
  <c r="H26" i="1"/>
  <c r="H27" i="1" s="1"/>
  <c r="N23" i="1"/>
  <c r="Q23" i="1"/>
  <c r="R23" i="1"/>
  <c r="S23" i="1"/>
  <c r="T23" i="1"/>
  <c r="V23" i="1"/>
  <c r="W23" i="1"/>
  <c r="AD23" i="1"/>
  <c r="AG23" i="1"/>
  <c r="AH23" i="1"/>
  <c r="AJ23" i="1"/>
  <c r="AL23" i="1"/>
  <c r="AM23" i="1"/>
  <c r="AT23" i="1"/>
  <c r="AW23" i="1"/>
  <c r="H19" i="1"/>
  <c r="H23" i="1"/>
  <c r="I22" i="1"/>
  <c r="I23" i="1" s="1"/>
  <c r="J22" i="1"/>
  <c r="J23" i="1" s="1"/>
  <c r="K22" i="1"/>
  <c r="K23" i="1" s="1"/>
  <c r="L22" i="1"/>
  <c r="L23" i="1" s="1"/>
  <c r="M22" i="1"/>
  <c r="M23" i="1" s="1"/>
  <c r="N22" i="1"/>
  <c r="O22" i="1"/>
  <c r="O23" i="1" s="1"/>
  <c r="P22" i="1"/>
  <c r="P23" i="1" s="1"/>
  <c r="Q22" i="1"/>
  <c r="R22" i="1"/>
  <c r="S22" i="1"/>
  <c r="T22" i="1"/>
  <c r="U22" i="1"/>
  <c r="U23" i="1" s="1"/>
  <c r="V22" i="1"/>
  <c r="W22" i="1"/>
  <c r="X22" i="1"/>
  <c r="X23" i="1" s="1"/>
  <c r="Y22" i="1"/>
  <c r="Y23" i="1" s="1"/>
  <c r="Z22" i="1"/>
  <c r="Z23" i="1" s="1"/>
  <c r="AA22" i="1"/>
  <c r="AA23" i="1" s="1"/>
  <c r="AB22" i="1"/>
  <c r="AB23" i="1" s="1"/>
  <c r="AC22" i="1"/>
  <c r="AC23" i="1" s="1"/>
  <c r="AD22" i="1"/>
  <c r="AE22" i="1"/>
  <c r="AE23" i="1" s="1"/>
  <c r="AF22" i="1"/>
  <c r="AF23" i="1" s="1"/>
  <c r="AG22" i="1"/>
  <c r="AH22" i="1"/>
  <c r="AI22" i="1"/>
  <c r="AI23" i="1" s="1"/>
  <c r="AJ22" i="1"/>
  <c r="AK22" i="1"/>
  <c r="AK23" i="1" s="1"/>
  <c r="AL22" i="1"/>
  <c r="AM22" i="1"/>
  <c r="AN22" i="1"/>
  <c r="AN23" i="1" s="1"/>
  <c r="AO22" i="1"/>
  <c r="AO23" i="1" s="1"/>
  <c r="AP22" i="1"/>
  <c r="AP23" i="1" s="1"/>
  <c r="AQ22" i="1"/>
  <c r="AQ23" i="1" s="1"/>
  <c r="AR22" i="1"/>
  <c r="AR23" i="1" s="1"/>
  <c r="AS22" i="1"/>
  <c r="AS23" i="1" s="1"/>
  <c r="AT22" i="1"/>
  <c r="AU22" i="1"/>
  <c r="AU23" i="1" s="1"/>
  <c r="AV22" i="1"/>
  <c r="AV23" i="1" s="1"/>
  <c r="AW22" i="1"/>
  <c r="H22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H11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H10" i="1"/>
  <c r="V19" i="1"/>
  <c r="X19" i="1"/>
  <c r="AK19" i="1"/>
  <c r="AL19" i="1"/>
  <c r="AN19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H18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H1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D9" i="1"/>
  <c r="D8" i="1"/>
  <c r="E5" i="1"/>
  <c r="I19" i="1" s="1"/>
  <c r="E4" i="1"/>
  <c r="U15" i="1" s="1"/>
  <c r="Q31" i="3" l="1"/>
  <c r="AE31" i="3"/>
  <c r="Y23" i="3"/>
  <c r="AR31" i="3"/>
  <c r="J23" i="3"/>
  <c r="Z23" i="3"/>
  <c r="AP23" i="3"/>
  <c r="AJ23" i="3"/>
  <c r="AS31" i="3"/>
  <c r="K23" i="3"/>
  <c r="AA23" i="3"/>
  <c r="AQ23" i="3"/>
  <c r="AK23" i="3"/>
  <c r="AT31" i="3"/>
  <c r="L23" i="3"/>
  <c r="AB23" i="3"/>
  <c r="AR23" i="3"/>
  <c r="AL23" i="3"/>
  <c r="AU31" i="3"/>
  <c r="M23" i="3"/>
  <c r="AC23" i="3"/>
  <c r="AS23" i="3"/>
  <c r="AM23" i="3"/>
  <c r="R31" i="3"/>
  <c r="AH31" i="3"/>
  <c r="L31" i="3"/>
  <c r="AV31" i="3"/>
  <c r="N23" i="3"/>
  <c r="AD23" i="3"/>
  <c r="AT23" i="3"/>
  <c r="AN23" i="3"/>
  <c r="S31" i="3"/>
  <c r="AI31" i="3"/>
  <c r="M31" i="3"/>
  <c r="AW31" i="3"/>
  <c r="O23" i="3"/>
  <c r="AE23" i="3"/>
  <c r="AU23" i="3"/>
  <c r="AO23" i="3"/>
  <c r="T31" i="3"/>
  <c r="AJ31" i="3"/>
  <c r="N31" i="3"/>
  <c r="R23" i="3"/>
  <c r="AH23" i="3"/>
  <c r="H23" i="3"/>
  <c r="W31" i="3"/>
  <c r="AM31" i="3"/>
  <c r="AC11" i="3"/>
  <c r="W6" i="3"/>
  <c r="AM6" i="3"/>
  <c r="R11" i="3"/>
  <c r="AH11" i="3"/>
  <c r="J27" i="3"/>
  <c r="Z27" i="3"/>
  <c r="AP27" i="3"/>
  <c r="R35" i="3"/>
  <c r="AH35" i="3"/>
  <c r="H6" i="3"/>
  <c r="X6" i="3"/>
  <c r="AN6" i="3"/>
  <c r="S11" i="3"/>
  <c r="AI11" i="3"/>
  <c r="K27" i="3"/>
  <c r="AA27" i="3"/>
  <c r="AQ27" i="3"/>
  <c r="S35" i="3"/>
  <c r="AI35" i="3"/>
  <c r="AJ35" i="3"/>
  <c r="J6" i="3"/>
  <c r="Z6" i="3"/>
  <c r="AP6" i="3"/>
  <c r="U11" i="3"/>
  <c r="AK11" i="3"/>
  <c r="M27" i="3"/>
  <c r="AC27" i="3"/>
  <c r="AS27" i="3"/>
  <c r="U35" i="3"/>
  <c r="AK35" i="3"/>
  <c r="T35" i="3"/>
  <c r="K6" i="3"/>
  <c r="AA6" i="3"/>
  <c r="AQ6" i="3"/>
  <c r="V11" i="3"/>
  <c r="AL11" i="3"/>
  <c r="N27" i="3"/>
  <c r="AD27" i="3"/>
  <c r="AT27" i="3"/>
  <c r="V35" i="3"/>
  <c r="AL35" i="3"/>
  <c r="L6" i="3"/>
  <c r="AB6" i="3"/>
  <c r="AR6" i="3"/>
  <c r="W11" i="3"/>
  <c r="AM11" i="3"/>
  <c r="O27" i="3"/>
  <c r="AE27" i="3"/>
  <c r="AU27" i="3"/>
  <c r="W35" i="3"/>
  <c r="AM35" i="3"/>
  <c r="H11" i="3"/>
  <c r="X11" i="3"/>
  <c r="AN11" i="3"/>
  <c r="P27" i="3"/>
  <c r="AF27" i="3"/>
  <c r="AV27" i="3"/>
  <c r="H35" i="3"/>
  <c r="X35" i="3"/>
  <c r="AN35" i="3"/>
  <c r="AO35" i="3"/>
  <c r="J35" i="3"/>
  <c r="Z35" i="3"/>
  <c r="AP35" i="3"/>
  <c r="AK27" i="3"/>
  <c r="AC35" i="3"/>
  <c r="S6" i="3"/>
  <c r="AI6" i="3"/>
  <c r="N11" i="3"/>
  <c r="AD11" i="3"/>
  <c r="AT11" i="3"/>
  <c r="V27" i="3"/>
  <c r="AL27" i="3"/>
  <c r="N35" i="3"/>
  <c r="AD35" i="3"/>
  <c r="AT35" i="3"/>
  <c r="M11" i="3"/>
  <c r="M35" i="3"/>
  <c r="T6" i="3"/>
  <c r="AJ6" i="3"/>
  <c r="O11" i="3"/>
  <c r="AE11" i="3"/>
  <c r="AU11" i="3"/>
  <c r="W27" i="3"/>
  <c r="AM27" i="3"/>
  <c r="O35" i="3"/>
  <c r="AE35" i="3"/>
  <c r="AU35" i="3"/>
  <c r="AS11" i="3"/>
  <c r="AS35" i="3"/>
  <c r="U6" i="3"/>
  <c r="AK6" i="3"/>
  <c r="P11" i="3"/>
  <c r="AF11" i="3"/>
  <c r="AV11" i="3"/>
  <c r="H27" i="3"/>
  <c r="X27" i="3"/>
  <c r="AN27" i="3"/>
  <c r="P35" i="3"/>
  <c r="AF35" i="3"/>
  <c r="AV35" i="3"/>
  <c r="U27" i="3"/>
  <c r="V6" i="3"/>
  <c r="Q11" i="3"/>
  <c r="AG11" i="3"/>
  <c r="AW11" i="3"/>
  <c r="I27" i="3"/>
  <c r="Y27" i="3"/>
  <c r="AO27" i="3"/>
  <c r="Q35" i="3"/>
  <c r="AG35" i="3"/>
  <c r="AW27" i="2"/>
  <c r="Y6" i="2"/>
  <c r="K19" i="2"/>
  <c r="AA19" i="2"/>
  <c r="AQ19" i="2"/>
  <c r="S27" i="2"/>
  <c r="AI27" i="2"/>
  <c r="I6" i="2"/>
  <c r="AO6" i="2"/>
  <c r="J6" i="2"/>
  <c r="Z6" i="2"/>
  <c r="AP6" i="2"/>
  <c r="T11" i="2"/>
  <c r="AJ11" i="2"/>
  <c r="L19" i="2"/>
  <c r="AB19" i="2"/>
  <c r="AR19" i="2"/>
  <c r="T27" i="2"/>
  <c r="AJ27" i="2"/>
  <c r="AE19" i="2"/>
  <c r="AU19" i="2"/>
  <c r="W27" i="2"/>
  <c r="AM27" i="2"/>
  <c r="N6" i="2"/>
  <c r="X27" i="2"/>
  <c r="M6" i="2"/>
  <c r="AD6" i="2"/>
  <c r="H11" i="2"/>
  <c r="AN11" i="2"/>
  <c r="P19" i="2"/>
  <c r="AF19" i="2"/>
  <c r="AV19" i="2"/>
  <c r="AN27" i="2"/>
  <c r="O6" i="2"/>
  <c r="AE6" i="2"/>
  <c r="AU6" i="2"/>
  <c r="I11" i="2"/>
  <c r="Y11" i="2"/>
  <c r="AO11" i="2"/>
  <c r="Q19" i="2"/>
  <c r="AG19" i="2"/>
  <c r="AW19" i="2"/>
  <c r="I27" i="2"/>
  <c r="Y27" i="2"/>
  <c r="AO27" i="2"/>
  <c r="AR6" i="2"/>
  <c r="AS6" i="2"/>
  <c r="AT6" i="2"/>
  <c r="AF6" i="2"/>
  <c r="J11" i="2"/>
  <c r="AP11" i="2"/>
  <c r="R19" i="2"/>
  <c r="AH19" i="2"/>
  <c r="J27" i="2"/>
  <c r="Z27" i="2"/>
  <c r="AP27" i="2"/>
  <c r="L6" i="2"/>
  <c r="AC6" i="2"/>
  <c r="AM11" i="2"/>
  <c r="X11" i="2"/>
  <c r="P6" i="2"/>
  <c r="AV6" i="2"/>
  <c r="Z11" i="2"/>
  <c r="Q6" i="2"/>
  <c r="AG6" i="2"/>
  <c r="AW6" i="2"/>
  <c r="K11" i="2"/>
  <c r="AA11" i="2"/>
  <c r="AQ11" i="2"/>
  <c r="S19" i="2"/>
  <c r="AI19" i="2"/>
  <c r="K27" i="2"/>
  <c r="AA27" i="2"/>
  <c r="AQ27" i="2"/>
  <c r="W11" i="2"/>
  <c r="O19" i="2"/>
  <c r="R6" i="2"/>
  <c r="AH6" i="2"/>
  <c r="L11" i="2"/>
  <c r="AB11" i="2"/>
  <c r="AR11" i="2"/>
  <c r="T19" i="2"/>
  <c r="AJ19" i="2"/>
  <c r="L27" i="2"/>
  <c r="AB27" i="2"/>
  <c r="AR27" i="2"/>
  <c r="AJ6" i="2"/>
  <c r="V19" i="2"/>
  <c r="N27" i="2"/>
  <c r="AT27" i="2"/>
  <c r="U6" i="2"/>
  <c r="AK6" i="2"/>
  <c r="O11" i="2"/>
  <c r="AE11" i="2"/>
  <c r="AU11" i="2"/>
  <c r="W19" i="2"/>
  <c r="AM19" i="2"/>
  <c r="O27" i="2"/>
  <c r="AE27" i="2"/>
  <c r="AU27" i="2"/>
  <c r="T6" i="2"/>
  <c r="AL19" i="2"/>
  <c r="AD27" i="2"/>
  <c r="V6" i="2"/>
  <c r="AL6" i="2"/>
  <c r="P11" i="2"/>
  <c r="AF11" i="2"/>
  <c r="AV11" i="2"/>
  <c r="H19" i="2"/>
  <c r="X19" i="2"/>
  <c r="AN19" i="2"/>
  <c r="P27" i="2"/>
  <c r="AF27" i="2"/>
  <c r="AV27" i="2"/>
  <c r="W6" i="2"/>
  <c r="AM6" i="2"/>
  <c r="Q11" i="2"/>
  <c r="AG11" i="2"/>
  <c r="AW11" i="2"/>
  <c r="I19" i="2"/>
  <c r="Y19" i="2"/>
  <c r="AO19" i="2"/>
  <c r="Q27" i="2"/>
  <c r="AG27" i="2"/>
  <c r="O6" i="1"/>
  <c r="AJ15" i="1"/>
  <c r="T15" i="1"/>
  <c r="AT6" i="1"/>
  <c r="AD6" i="1"/>
  <c r="N6" i="1"/>
  <c r="AI15" i="1"/>
  <c r="S15" i="1"/>
  <c r="AM19" i="1"/>
  <c r="W19" i="1"/>
  <c r="R15" i="1"/>
  <c r="U19" i="1"/>
  <c r="P15" i="1"/>
  <c r="AJ19" i="1"/>
  <c r="Z6" i="1"/>
  <c r="AU15" i="1"/>
  <c r="O15" i="1"/>
  <c r="AI19" i="1"/>
  <c r="S19" i="1"/>
  <c r="AR6" i="1"/>
  <c r="AA6" i="1"/>
  <c r="AF15" i="1"/>
  <c r="T19" i="1"/>
  <c r="AP6" i="1"/>
  <c r="J6" i="1"/>
  <c r="I6" i="1"/>
  <c r="N15" i="1"/>
  <c r="R19" i="1"/>
  <c r="AN6" i="1"/>
  <c r="X6" i="1"/>
  <c r="AW6" i="1"/>
  <c r="AS15" i="1"/>
  <c r="AC15" i="1"/>
  <c r="M15" i="1"/>
  <c r="AW19" i="1"/>
  <c r="AG19" i="1"/>
  <c r="Q19" i="1"/>
  <c r="AC6" i="1"/>
  <c r="AB6" i="1"/>
  <c r="AW15" i="1"/>
  <c r="Q15" i="1"/>
  <c r="AQ6" i="1"/>
  <c r="AV15" i="1"/>
  <c r="AE15" i="1"/>
  <c r="AB15" i="1"/>
  <c r="L15" i="1"/>
  <c r="AV19" i="1"/>
  <c r="AF19" i="1"/>
  <c r="P19" i="1"/>
  <c r="AU6" i="1"/>
  <c r="AS6" i="1"/>
  <c r="H15" i="1"/>
  <c r="L6" i="1"/>
  <c r="AG15" i="1"/>
  <c r="K6" i="1"/>
  <c r="Y6" i="1"/>
  <c r="AT15" i="1"/>
  <c r="AH19" i="1"/>
  <c r="AM6" i="1"/>
  <c r="AR15" i="1"/>
  <c r="AL6" i="1"/>
  <c r="V6" i="1"/>
  <c r="AQ15" i="1"/>
  <c r="AA15" i="1"/>
  <c r="K15" i="1"/>
  <c r="AU19" i="1"/>
  <c r="AE19" i="1"/>
  <c r="O19" i="1"/>
  <c r="AE6" i="1"/>
  <c r="M6" i="1"/>
  <c r="AH15" i="1"/>
  <c r="AO6" i="1"/>
  <c r="AD15" i="1"/>
  <c r="W6" i="1"/>
  <c r="AK6" i="1"/>
  <c r="U6" i="1"/>
  <c r="AP15" i="1"/>
  <c r="Z15" i="1"/>
  <c r="J15" i="1"/>
  <c r="AT19" i="1"/>
  <c r="AD19" i="1"/>
  <c r="N19" i="1"/>
  <c r="AS19" i="1"/>
  <c r="AC19" i="1"/>
  <c r="M19" i="1"/>
  <c r="AR19" i="1"/>
  <c r="AB19" i="1"/>
  <c r="L19" i="1"/>
  <c r="AQ19" i="1"/>
  <c r="K19" i="1"/>
  <c r="J19" i="1"/>
  <c r="AJ6" i="1"/>
  <c r="T6" i="1"/>
  <c r="AO15" i="1"/>
  <c r="Y15" i="1"/>
  <c r="I15" i="1"/>
  <c r="AI6" i="1"/>
  <c r="S6" i="1"/>
  <c r="AN15" i="1"/>
  <c r="X15" i="1"/>
  <c r="AH6" i="1"/>
  <c r="R6" i="1"/>
  <c r="AM15" i="1"/>
  <c r="W15" i="1"/>
  <c r="AA19" i="1"/>
  <c r="AG6" i="1"/>
  <c r="Q6" i="1"/>
  <c r="AL15" i="1"/>
  <c r="V15" i="1"/>
  <c r="AP19" i="1"/>
  <c r="Z19" i="1"/>
  <c r="AV6" i="1"/>
  <c r="AF6" i="1"/>
  <c r="P6" i="1"/>
  <c r="AK15" i="1"/>
  <c r="AO19" i="1"/>
  <c r="Y19" i="1"/>
</calcChain>
</file>

<file path=xl/sharedStrings.xml><?xml version="1.0" encoding="utf-8"?>
<sst xmlns="http://schemas.openxmlformats.org/spreadsheetml/2006/main" count="60" uniqueCount="20">
  <si>
    <t>sc 1</t>
  </si>
  <si>
    <t>inicial</t>
  </si>
  <si>
    <t>sc 2</t>
  </si>
  <si>
    <t>fleet 1 demersal</t>
  </si>
  <si>
    <t>fleet 2 pelagic</t>
  </si>
  <si>
    <t>sc2</t>
  </si>
  <si>
    <t>inicial demersal</t>
  </si>
  <si>
    <t>sc2 demersal</t>
  </si>
  <si>
    <t>inicial pelagico</t>
  </si>
  <si>
    <t>sc 2pelagico</t>
  </si>
  <si>
    <t>sc3 pelagico</t>
  </si>
  <si>
    <t>sc3 demersal</t>
  </si>
  <si>
    <t>0 todo</t>
  </si>
  <si>
    <t>o.5 todo</t>
  </si>
  <si>
    <t>0 first 20</t>
  </si>
  <si>
    <t>par -1.609</t>
  </si>
  <si>
    <t>sc 1 no estaima</t>
  </si>
  <si>
    <t xml:space="preserve">sc1 </t>
  </si>
  <si>
    <t>sc1 demersal</t>
  </si>
  <si>
    <t>sc1 pelagico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</si>
</sst>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86482939632541E-2"/>
          <c:y val="5.0925925925925923E-2"/>
          <c:w val="0.8754044181977253"/>
          <c:h val="0.84167468649752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Hoja1!$G$6</c:f>
              <c:strCache>
                <c:ptCount val="1"/>
                <c:pt idx="0">
                  <c:v>inicial demersal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Hoja1!$H$7:$AW$7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Hoja1!$H$6:$AW$6</c:f>
              <c:numCache>
                <c:formatCode>General</c:formatCode>
                <c:ptCount val="42"/>
                <c:pt idx="0">
                  <c:v>2.7832396798539794</c:v>
                </c:pt>
                <c:pt idx="1">
                  <c:v>2.7832396798539794</c:v>
                </c:pt>
                <c:pt idx="2">
                  <c:v>2.7832396798539794</c:v>
                </c:pt>
                <c:pt idx="3">
                  <c:v>2.7832396798539794</c:v>
                </c:pt>
                <c:pt idx="4">
                  <c:v>2.7832396798539794</c:v>
                </c:pt>
                <c:pt idx="5">
                  <c:v>2.7832396798539794</c:v>
                </c:pt>
                <c:pt idx="6">
                  <c:v>2.7832396798539794</c:v>
                </c:pt>
                <c:pt idx="7">
                  <c:v>2.7832396798539794</c:v>
                </c:pt>
                <c:pt idx="8">
                  <c:v>2.7832396798539794</c:v>
                </c:pt>
                <c:pt idx="9">
                  <c:v>2.7832396798539794</c:v>
                </c:pt>
                <c:pt idx="10">
                  <c:v>2.7832396798539794</c:v>
                </c:pt>
                <c:pt idx="11">
                  <c:v>2.7832396798539794</c:v>
                </c:pt>
                <c:pt idx="12">
                  <c:v>2.7832396798539794</c:v>
                </c:pt>
                <c:pt idx="13">
                  <c:v>2.2042418954171734</c:v>
                </c:pt>
                <c:pt idx="14">
                  <c:v>3.4604713317853495</c:v>
                </c:pt>
                <c:pt idx="15">
                  <c:v>2.0234193198911745</c:v>
                </c:pt>
                <c:pt idx="16">
                  <c:v>3.8164144189574492</c:v>
                </c:pt>
                <c:pt idx="17">
                  <c:v>2.3186050584207103</c:v>
                </c:pt>
                <c:pt idx="18">
                  <c:v>2.852052043134583</c:v>
                </c:pt>
                <c:pt idx="19">
                  <c:v>2.8500976261734867</c:v>
                </c:pt>
                <c:pt idx="20">
                  <c:v>2.4011891578148106</c:v>
                </c:pt>
                <c:pt idx="21">
                  <c:v>1.6791224117978649</c:v>
                </c:pt>
                <c:pt idx="22">
                  <c:v>1.7678014886957225</c:v>
                </c:pt>
                <c:pt idx="23">
                  <c:v>1.9396130840346488</c:v>
                </c:pt>
                <c:pt idx="24">
                  <c:v>1.956072830745599</c:v>
                </c:pt>
                <c:pt idx="25">
                  <c:v>2.1080188427359579</c:v>
                </c:pt>
                <c:pt idx="26">
                  <c:v>1.5903209864603636</c:v>
                </c:pt>
                <c:pt idx="27">
                  <c:v>1.0617800945962566</c:v>
                </c:pt>
                <c:pt idx="28">
                  <c:v>1.4799712633280757</c:v>
                </c:pt>
                <c:pt idx="29">
                  <c:v>1.1456464188863635</c:v>
                </c:pt>
                <c:pt idx="30">
                  <c:v>0.87539232306660586</c:v>
                </c:pt>
                <c:pt idx="31">
                  <c:v>0.85312964100177091</c:v>
                </c:pt>
                <c:pt idx="32">
                  <c:v>0.54562926561161496</c:v>
                </c:pt>
                <c:pt idx="33">
                  <c:v>0.90945797220457059</c:v>
                </c:pt>
                <c:pt idx="34">
                  <c:v>1.1563155697795813</c:v>
                </c:pt>
                <c:pt idx="35">
                  <c:v>1.3014989966233155</c:v>
                </c:pt>
                <c:pt idx="36">
                  <c:v>1.2418004552063702</c:v>
                </c:pt>
                <c:pt idx="37">
                  <c:v>0.72023928722051722</c:v>
                </c:pt>
                <c:pt idx="38">
                  <c:v>0.86272515422467211</c:v>
                </c:pt>
                <c:pt idx="39">
                  <c:v>0.91795119977503936</c:v>
                </c:pt>
                <c:pt idx="40">
                  <c:v>1.8291027235417809</c:v>
                </c:pt>
                <c:pt idx="41">
                  <c:v>2.6858896620964998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BE-4683-B7DC-9031CDBB2DDB}"/>
            </c:ext>
          </c:extLst>
        </c:ser>
        <c:ser>
          <c:idx val="1"/>
          <c:order val="1"/>
          <c:tx>
            <c:strRef>
              <c:f>Hoja1!$G$15</c:f>
              <c:strCache>
                <c:ptCount val="1"/>
                <c:pt idx="0">
                  <c:v>sc2 demersal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Hoja1!$H$7:$AW$7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Hoja1!$H$15:$AW$15</c:f>
              <c:numCache>
                <c:formatCode>General</c:formatCode>
                <c:ptCount val="42"/>
                <c:pt idx="0">
                  <c:v>7.7354131669387399E-2</c:v>
                </c:pt>
                <c:pt idx="1">
                  <c:v>0.15230834674015287</c:v>
                </c:pt>
                <c:pt idx="2">
                  <c:v>0.75054988540119782</c:v>
                </c:pt>
                <c:pt idx="3">
                  <c:v>0.3884841757932615</c:v>
                </c:pt>
                <c:pt idx="4">
                  <c:v>0.48980147804120083</c:v>
                </c:pt>
                <c:pt idx="5">
                  <c:v>0.45025390542699439</c:v>
                </c:pt>
                <c:pt idx="6">
                  <c:v>0.42325703611209786</c:v>
                </c:pt>
                <c:pt idx="7">
                  <c:v>0.75382608580116373</c:v>
                </c:pt>
                <c:pt idx="8">
                  <c:v>0.94728715809532016</c:v>
                </c:pt>
                <c:pt idx="9">
                  <c:v>1.579442506749807</c:v>
                </c:pt>
                <c:pt idx="10">
                  <c:v>0.93531097930247908</c:v>
                </c:pt>
                <c:pt idx="11">
                  <c:v>1.0628370712882751</c:v>
                </c:pt>
                <c:pt idx="12">
                  <c:v>1.9160972136210597</c:v>
                </c:pt>
                <c:pt idx="13">
                  <c:v>2.6203036729932694</c:v>
                </c:pt>
                <c:pt idx="14">
                  <c:v>4.5219872861933661</c:v>
                </c:pt>
                <c:pt idx="15">
                  <c:v>2.1361786906632818</c:v>
                </c:pt>
                <c:pt idx="16">
                  <c:v>3.9939298489164687</c:v>
                </c:pt>
                <c:pt idx="17">
                  <c:v>2.3969544833482908</c:v>
                </c:pt>
                <c:pt idx="18">
                  <c:v>2.8342616763409492</c:v>
                </c:pt>
                <c:pt idx="19">
                  <c:v>2.8863065305493016</c:v>
                </c:pt>
                <c:pt idx="20">
                  <c:v>2.4352616532106168</c:v>
                </c:pt>
                <c:pt idx="21">
                  <c:v>1.6665289260611393</c:v>
                </c:pt>
                <c:pt idx="22">
                  <c:v>1.7271344834482054</c:v>
                </c:pt>
                <c:pt idx="23">
                  <c:v>1.8875618343118667</c:v>
                </c:pt>
                <c:pt idx="24">
                  <c:v>1.8004449115371095</c:v>
                </c:pt>
                <c:pt idx="25">
                  <c:v>2.0283126280488157</c:v>
                </c:pt>
                <c:pt idx="26">
                  <c:v>1.5631711733663682</c:v>
                </c:pt>
                <c:pt idx="27">
                  <c:v>1.0668366328601586</c:v>
                </c:pt>
                <c:pt idx="28">
                  <c:v>1.432912327013284</c:v>
                </c:pt>
                <c:pt idx="29">
                  <c:v>1.1489300474851003</c:v>
                </c:pt>
                <c:pt idx="30">
                  <c:v>0.93650880407836135</c:v>
                </c:pt>
                <c:pt idx="31">
                  <c:v>0.88509884210346634</c:v>
                </c:pt>
                <c:pt idx="32">
                  <c:v>0.57057853133891501</c:v>
                </c:pt>
                <c:pt idx="33">
                  <c:v>0.93417749659481208</c:v>
                </c:pt>
                <c:pt idx="34">
                  <c:v>1.2120227125878458</c:v>
                </c:pt>
                <c:pt idx="35">
                  <c:v>1.3603747131495563</c:v>
                </c:pt>
                <c:pt idx="36">
                  <c:v>1.2297059525372562</c:v>
                </c:pt>
                <c:pt idx="37">
                  <c:v>0.64210198083501158</c:v>
                </c:pt>
                <c:pt idx="38">
                  <c:v>0.67954421806722409</c:v>
                </c:pt>
                <c:pt idx="39">
                  <c:v>0.67766083515666553</c:v>
                </c:pt>
                <c:pt idx="40">
                  <c:v>1.2714910496654284</c:v>
                </c:pt>
                <c:pt idx="41">
                  <c:v>2.3492836736518985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BE-4683-B7DC-9031CDBB2DDB}"/>
            </c:ext>
          </c:extLst>
        </c:ser>
        <c:ser>
          <c:idx val="2"/>
          <c:order val="2"/>
          <c:tx>
            <c:strRef>
              <c:f>Hoja1!$G$21</c:f>
              <c:strCache>
                <c:ptCount val="1"/>
                <c:pt idx="0">
                  <c:v>sc3 demersal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Hoja1!$H$7:$AW$7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Hoja1!$H$23:$AW$23</c:f>
              <c:numCache>
                <c:formatCode>General</c:formatCode>
                <c:ptCount val="42"/>
                <c:pt idx="0">
                  <c:v>7.8773018782383714E-2</c:v>
                </c:pt>
                <c:pt idx="1">
                  <c:v>0.1471395295003379</c:v>
                </c:pt>
                <c:pt idx="2">
                  <c:v>0.53041966855235723</c:v>
                </c:pt>
                <c:pt idx="3">
                  <c:v>0.3631795639149531</c:v>
                </c:pt>
                <c:pt idx="4">
                  <c:v>0.45266952326633908</c:v>
                </c:pt>
                <c:pt idx="5">
                  <c:v>0.39940667646116468</c:v>
                </c:pt>
                <c:pt idx="6">
                  <c:v>0.39078253494968507</c:v>
                </c:pt>
                <c:pt idx="7">
                  <c:v>0.70361829496554607</c:v>
                </c:pt>
                <c:pt idx="8">
                  <c:v>0.94885107681371494</c:v>
                </c:pt>
                <c:pt idx="9">
                  <c:v>1.5637524884231289</c:v>
                </c:pt>
                <c:pt idx="10">
                  <c:v>0.8014075206896446</c:v>
                </c:pt>
                <c:pt idx="11">
                  <c:v>1.0006283042792101</c:v>
                </c:pt>
                <c:pt idx="12">
                  <c:v>1.7826571732150582</c:v>
                </c:pt>
                <c:pt idx="13">
                  <c:v>2.3334005963960873</c:v>
                </c:pt>
                <c:pt idx="14">
                  <c:v>3.9063577938441765</c:v>
                </c:pt>
                <c:pt idx="15">
                  <c:v>2.0689464886918065</c:v>
                </c:pt>
                <c:pt idx="16">
                  <c:v>3.7146015775374805</c:v>
                </c:pt>
                <c:pt idx="17">
                  <c:v>2.2700959865394239</c:v>
                </c:pt>
                <c:pt idx="18">
                  <c:v>2.8255879740145708</c:v>
                </c:pt>
                <c:pt idx="19">
                  <c:v>2.8078272529342936</c:v>
                </c:pt>
                <c:pt idx="20">
                  <c:v>2.5317496073511396</c:v>
                </c:pt>
                <c:pt idx="21">
                  <c:v>1.7143756547445492</c:v>
                </c:pt>
                <c:pt idx="22">
                  <c:v>1.7571821604038844</c:v>
                </c:pt>
                <c:pt idx="23">
                  <c:v>1.9978567310189408</c:v>
                </c:pt>
                <c:pt idx="24">
                  <c:v>2.005512002305184</c:v>
                </c:pt>
                <c:pt idx="25">
                  <c:v>2.066353880819312</c:v>
                </c:pt>
                <c:pt idx="26">
                  <c:v>1.7399742352965077</c:v>
                </c:pt>
                <c:pt idx="27">
                  <c:v>1.0456142232233097</c:v>
                </c:pt>
                <c:pt idx="28">
                  <c:v>1.418847527076057</c:v>
                </c:pt>
                <c:pt idx="29">
                  <c:v>1.1611804988681256</c:v>
                </c:pt>
                <c:pt idx="30">
                  <c:v>0.88834641021471317</c:v>
                </c:pt>
                <c:pt idx="31">
                  <c:v>0.88617482116135038</c:v>
                </c:pt>
                <c:pt idx="32">
                  <c:v>0.53937307539583135</c:v>
                </c:pt>
                <c:pt idx="33">
                  <c:v>0.86867248094861538</c:v>
                </c:pt>
                <c:pt idx="34">
                  <c:v>1.2115883025760483</c:v>
                </c:pt>
                <c:pt idx="35">
                  <c:v>1.4003634959829201</c:v>
                </c:pt>
                <c:pt idx="36">
                  <c:v>1.1650091839696413</c:v>
                </c:pt>
                <c:pt idx="37">
                  <c:v>0.70267984190052235</c:v>
                </c:pt>
                <c:pt idx="38">
                  <c:v>0.86711581531085635</c:v>
                </c:pt>
                <c:pt idx="39">
                  <c:v>1.0759895056232478</c:v>
                </c:pt>
                <c:pt idx="40">
                  <c:v>1.968208978837378</c:v>
                </c:pt>
                <c:pt idx="41">
                  <c:v>2.6810538919414113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BE-4683-B7DC-9031CDBB2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7962064"/>
        <c:axId val="2047960816"/>
      </c:scatterChart>
      <c:valAx>
        <c:axId val="204796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0816"/>
        <c:crosses val="autoZero"/>
        <c:crossBetween val="midCat"/>
      </c:valAx>
      <c:valAx>
        <c:axId val="204796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2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762423447069113"/>
          <c:y val="5.6133712452610125E-2"/>
          <c:w val="0.24182020997375328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5.0925925925925923E-2"/>
          <c:w val="0.8524873140857393"/>
          <c:h val="0.84167468649752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Hoja1!$G$9</c:f>
              <c:strCache>
                <c:ptCount val="1"/>
                <c:pt idx="0">
                  <c:v>inicial pelagico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Hoja1!$H$7:$AW$7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Hoja1!$H$11:$AW$11</c:f>
              <c:numCache>
                <c:formatCode>General</c:formatCode>
                <c:ptCount val="42"/>
                <c:pt idx="0">
                  <c:v>0.79665070681884154</c:v>
                </c:pt>
                <c:pt idx="1">
                  <c:v>0.8017165717050696</c:v>
                </c:pt>
                <c:pt idx="2">
                  <c:v>0.81996125642634388</c:v>
                </c:pt>
                <c:pt idx="3">
                  <c:v>0.82838868180607284</c:v>
                </c:pt>
                <c:pt idx="4">
                  <c:v>0.93713054681481256</c:v>
                </c:pt>
                <c:pt idx="5">
                  <c:v>2.8717632070932391</c:v>
                </c:pt>
                <c:pt idx="6">
                  <c:v>2.4374664046011301</c:v>
                </c:pt>
                <c:pt idx="7">
                  <c:v>2.1483975224541498</c:v>
                </c:pt>
                <c:pt idx="8">
                  <c:v>2.1301178325808152</c:v>
                </c:pt>
                <c:pt idx="9">
                  <c:v>1.7530596942763645</c:v>
                </c:pt>
                <c:pt idx="10">
                  <c:v>1.0117684049141169</c:v>
                </c:pt>
                <c:pt idx="11">
                  <c:v>0.90291648826743665</c:v>
                </c:pt>
                <c:pt idx="12">
                  <c:v>1.1031353613112298</c:v>
                </c:pt>
                <c:pt idx="13">
                  <c:v>0.91870956891002853</c:v>
                </c:pt>
                <c:pt idx="14">
                  <c:v>0.94421507261163184</c:v>
                </c:pt>
                <c:pt idx="15">
                  <c:v>1.4612305189347354</c:v>
                </c:pt>
                <c:pt idx="16">
                  <c:v>1.7268971856358046</c:v>
                </c:pt>
                <c:pt idx="17">
                  <c:v>0.81287693390652982</c:v>
                </c:pt>
                <c:pt idx="18">
                  <c:v>4.0728766522018187</c:v>
                </c:pt>
                <c:pt idx="19">
                  <c:v>4.7002512631187834</c:v>
                </c:pt>
                <c:pt idx="20">
                  <c:v>7.2552131376618902</c:v>
                </c:pt>
                <c:pt idx="21">
                  <c:v>6.4810911651352985</c:v>
                </c:pt>
                <c:pt idx="22">
                  <c:v>2.8151240529841011</c:v>
                </c:pt>
                <c:pt idx="23">
                  <c:v>5.959855069700188</c:v>
                </c:pt>
                <c:pt idx="24">
                  <c:v>2.968043978392132</c:v>
                </c:pt>
                <c:pt idx="25">
                  <c:v>7.7214069588370275</c:v>
                </c:pt>
                <c:pt idx="26">
                  <c:v>6.3213423416538621</c:v>
                </c:pt>
                <c:pt idx="27">
                  <c:v>5.5661340393794028</c:v>
                </c:pt>
                <c:pt idx="28">
                  <c:v>3.9040552429779716</c:v>
                </c:pt>
                <c:pt idx="29">
                  <c:v>3.3932816217492818</c:v>
                </c:pt>
                <c:pt idx="30">
                  <c:v>2.8927298840291917</c:v>
                </c:pt>
                <c:pt idx="31">
                  <c:v>5.9782588883492345</c:v>
                </c:pt>
                <c:pt idx="32">
                  <c:v>2.8706159792063999</c:v>
                </c:pt>
                <c:pt idx="33">
                  <c:v>6.8140851611162141</c:v>
                </c:pt>
                <c:pt idx="34">
                  <c:v>3.7472500828207411</c:v>
                </c:pt>
                <c:pt idx="35">
                  <c:v>4.3453817241012773</c:v>
                </c:pt>
                <c:pt idx="36">
                  <c:v>5.5861027460361399</c:v>
                </c:pt>
                <c:pt idx="37">
                  <c:v>5.2996771290680069</c:v>
                </c:pt>
                <c:pt idx="38">
                  <c:v>3.3684513746639824</c:v>
                </c:pt>
                <c:pt idx="39">
                  <c:v>4.1432459806597635</c:v>
                </c:pt>
                <c:pt idx="40">
                  <c:v>7.1646114433661658</c:v>
                </c:pt>
                <c:pt idx="41">
                  <c:v>9.1021220152096181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C8-4299-AA7C-D9B940CA8A5E}"/>
            </c:ext>
          </c:extLst>
        </c:ser>
        <c:ser>
          <c:idx val="1"/>
          <c:order val="1"/>
          <c:tx>
            <c:strRef>
              <c:f>Hoja1!$G$18</c:f>
              <c:strCache>
                <c:ptCount val="1"/>
                <c:pt idx="0">
                  <c:v>sc 2pelagico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Hoja1!$H$7:$AW$7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Hoja1!$H$19:$AW$19</c:f>
              <c:numCache>
                <c:formatCode>General</c:formatCode>
                <c:ptCount val="42"/>
                <c:pt idx="0">
                  <c:v>0.81515351470351993</c:v>
                </c:pt>
                <c:pt idx="1">
                  <c:v>0.8117658295835124</c:v>
                </c:pt>
                <c:pt idx="2">
                  <c:v>0.98865451532898274</c:v>
                </c:pt>
                <c:pt idx="3">
                  <c:v>0.90170935723746104</c:v>
                </c:pt>
                <c:pt idx="4">
                  <c:v>1.9444673505554624</c:v>
                </c:pt>
                <c:pt idx="5">
                  <c:v>3.1341451429705853</c:v>
                </c:pt>
                <c:pt idx="6">
                  <c:v>2.1743859302944069</c:v>
                </c:pt>
                <c:pt idx="7">
                  <c:v>2.5112959164613837</c:v>
                </c:pt>
                <c:pt idx="8">
                  <c:v>2.9240557993528595</c:v>
                </c:pt>
                <c:pt idx="9">
                  <c:v>2.5613722027804267</c:v>
                </c:pt>
                <c:pt idx="10">
                  <c:v>1.7043119984705257</c:v>
                </c:pt>
                <c:pt idx="11">
                  <c:v>1.3292949331901811</c:v>
                </c:pt>
                <c:pt idx="12">
                  <c:v>1.8163984498816845</c:v>
                </c:pt>
                <c:pt idx="13">
                  <c:v>1.3623657459187273</c:v>
                </c:pt>
                <c:pt idx="14">
                  <c:v>1.9261161021792623</c:v>
                </c:pt>
                <c:pt idx="15">
                  <c:v>1.409093553739696</c:v>
                </c:pt>
                <c:pt idx="16">
                  <c:v>6.7265345063072459</c:v>
                </c:pt>
                <c:pt idx="17">
                  <c:v>1.2288744120780264</c:v>
                </c:pt>
                <c:pt idx="18">
                  <c:v>3.2340815484438563</c:v>
                </c:pt>
                <c:pt idx="19">
                  <c:v>3.3889902875613123</c:v>
                </c:pt>
                <c:pt idx="20">
                  <c:v>4.6504927607340854</c:v>
                </c:pt>
                <c:pt idx="21">
                  <c:v>4.2662814903036184</c:v>
                </c:pt>
                <c:pt idx="22">
                  <c:v>1.882966669290798</c:v>
                </c:pt>
                <c:pt idx="23">
                  <c:v>2.9035055087732289</c:v>
                </c:pt>
                <c:pt idx="24">
                  <c:v>1.58216289786026</c:v>
                </c:pt>
                <c:pt idx="25">
                  <c:v>4.0752100290330597</c:v>
                </c:pt>
                <c:pt idx="26">
                  <c:v>4.561192556940421</c:v>
                </c:pt>
                <c:pt idx="27">
                  <c:v>3.7272905511463672</c:v>
                </c:pt>
                <c:pt idx="28">
                  <c:v>2.9430332691052188</c:v>
                </c:pt>
                <c:pt idx="29">
                  <c:v>2.6248831680313289</c:v>
                </c:pt>
                <c:pt idx="30">
                  <c:v>2.2194441029870626</c:v>
                </c:pt>
                <c:pt idx="31">
                  <c:v>3.6752538225392026</c:v>
                </c:pt>
                <c:pt idx="32">
                  <c:v>1.7196432701817139</c:v>
                </c:pt>
                <c:pt idx="33">
                  <c:v>4.095823830480497</c:v>
                </c:pt>
                <c:pt idx="34">
                  <c:v>2.4719894536470846</c:v>
                </c:pt>
                <c:pt idx="35">
                  <c:v>3.1083494943527588</c:v>
                </c:pt>
                <c:pt idx="36">
                  <c:v>3.7817362234316723</c:v>
                </c:pt>
                <c:pt idx="37">
                  <c:v>2.9553084267178797</c:v>
                </c:pt>
                <c:pt idx="38">
                  <c:v>1.3581699121503319</c:v>
                </c:pt>
                <c:pt idx="39">
                  <c:v>0.93783144929615225</c:v>
                </c:pt>
                <c:pt idx="40">
                  <c:v>1.060429079663157</c:v>
                </c:pt>
                <c:pt idx="41">
                  <c:v>0.88869311077858226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C8-4299-AA7C-D9B940CA8A5E}"/>
            </c:ext>
          </c:extLst>
        </c:ser>
        <c:ser>
          <c:idx val="2"/>
          <c:order val="2"/>
          <c:tx>
            <c:strRef>
              <c:f>Hoja1!$G$25</c:f>
              <c:strCache>
                <c:ptCount val="1"/>
                <c:pt idx="0">
                  <c:v>sc3 pelagico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Hoja1!$H$7:$AW$7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Hoja1!$H$27:$AW$27</c:f>
              <c:numCache>
                <c:formatCode>General</c:formatCode>
                <c:ptCount val="42"/>
                <c:pt idx="0">
                  <c:v>0.79588179403233861</c:v>
                </c:pt>
                <c:pt idx="1">
                  <c:v>0.79649015185889505</c:v>
                </c:pt>
                <c:pt idx="2">
                  <c:v>0.80835263383766698</c:v>
                </c:pt>
                <c:pt idx="3">
                  <c:v>0.8197849456937375</c:v>
                </c:pt>
                <c:pt idx="4">
                  <c:v>0.86357492259557567</c:v>
                </c:pt>
                <c:pt idx="5">
                  <c:v>2.5727778512782824</c:v>
                </c:pt>
                <c:pt idx="6">
                  <c:v>2.6850286667717436</c:v>
                </c:pt>
                <c:pt idx="7">
                  <c:v>2.3390462737908893</c:v>
                </c:pt>
                <c:pt idx="8">
                  <c:v>2.2637465689378824</c:v>
                </c:pt>
                <c:pt idx="9">
                  <c:v>2.3017289419805307</c:v>
                </c:pt>
                <c:pt idx="10">
                  <c:v>1.4150154223687821</c:v>
                </c:pt>
                <c:pt idx="11">
                  <c:v>1.125027262100359</c:v>
                </c:pt>
                <c:pt idx="12">
                  <c:v>1.2515965903822475</c:v>
                </c:pt>
                <c:pt idx="13">
                  <c:v>0.89609651600239237</c:v>
                </c:pt>
                <c:pt idx="14">
                  <c:v>0.89011827284555156</c:v>
                </c:pt>
                <c:pt idx="15">
                  <c:v>1.6407958376257619</c:v>
                </c:pt>
                <c:pt idx="16">
                  <c:v>1.4338133617476103</c:v>
                </c:pt>
                <c:pt idx="17">
                  <c:v>0.8028332638839587</c:v>
                </c:pt>
                <c:pt idx="18">
                  <c:v>4.9554085192952382</c:v>
                </c:pt>
                <c:pt idx="19">
                  <c:v>5.4898871024164251</c:v>
                </c:pt>
                <c:pt idx="20">
                  <c:v>8.705351609411311</c:v>
                </c:pt>
                <c:pt idx="21">
                  <c:v>7.8005620951531931</c:v>
                </c:pt>
                <c:pt idx="22">
                  <c:v>3.2929750133264792</c:v>
                </c:pt>
                <c:pt idx="23">
                  <c:v>7.1503782389338664</c:v>
                </c:pt>
                <c:pt idx="24">
                  <c:v>3.3639256903127177</c:v>
                </c:pt>
                <c:pt idx="25">
                  <c:v>9.157617939990697</c:v>
                </c:pt>
                <c:pt idx="26">
                  <c:v>7.6678587374734715</c:v>
                </c:pt>
                <c:pt idx="27">
                  <c:v>6.6051405401117318</c:v>
                </c:pt>
                <c:pt idx="28">
                  <c:v>4.3979248247055258</c:v>
                </c:pt>
                <c:pt idx="29">
                  <c:v>3.6560326222024937</c:v>
                </c:pt>
                <c:pt idx="30">
                  <c:v>3.3888532290754023</c:v>
                </c:pt>
                <c:pt idx="31">
                  <c:v>7.1879400674728533</c:v>
                </c:pt>
                <c:pt idx="32">
                  <c:v>3.0045887281706025</c:v>
                </c:pt>
                <c:pt idx="33">
                  <c:v>8.0532943971523387</c:v>
                </c:pt>
                <c:pt idx="34">
                  <c:v>4.3039573153662705</c:v>
                </c:pt>
                <c:pt idx="35">
                  <c:v>4.9234266180417432</c:v>
                </c:pt>
                <c:pt idx="36">
                  <c:v>6.1515539120118543</c:v>
                </c:pt>
                <c:pt idx="37">
                  <c:v>6.6523424067063637</c:v>
                </c:pt>
                <c:pt idx="38">
                  <c:v>3.9337559701391949</c:v>
                </c:pt>
                <c:pt idx="39">
                  <c:v>5.1282343595138524</c:v>
                </c:pt>
                <c:pt idx="40">
                  <c:v>8.7362511082911816</c:v>
                </c:pt>
                <c:pt idx="41">
                  <c:v>11.511586275390032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DC8-4299-AA7C-D9B940CA8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7962064"/>
        <c:axId val="2047960816"/>
      </c:scatterChart>
      <c:valAx>
        <c:axId val="204796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0816"/>
        <c:crosses val="autoZero"/>
        <c:crossBetween val="midCat"/>
      </c:valAx>
      <c:valAx>
        <c:axId val="204796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2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117935258092735"/>
          <c:y val="5.6133712452610125E-2"/>
          <c:w val="0.23215398075240595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86482939632541E-2"/>
          <c:y val="5.0925925925925923E-2"/>
          <c:w val="0.8754044181977253"/>
          <c:h val="0.84167468649752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Hoja1!$G$6</c:f>
              <c:strCache>
                <c:ptCount val="1"/>
                <c:pt idx="0">
                  <c:v>inicial demersal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Hoja1!$H$7:$AW$7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Hoja2!$H$6:$AW$6</c:f>
              <c:numCache>
                <c:formatCode>General</c:formatCode>
                <c:ptCount val="42"/>
                <c:pt idx="0">
                  <c:v>0.10058295661906089</c:v>
                </c:pt>
                <c:pt idx="1">
                  <c:v>0.19476548192927234</c:v>
                </c:pt>
                <c:pt idx="2">
                  <c:v>0.44499717847548581</c:v>
                </c:pt>
                <c:pt idx="3">
                  <c:v>0.32676396364969351</c:v>
                </c:pt>
                <c:pt idx="4">
                  <c:v>0.42882311282878732</c:v>
                </c:pt>
                <c:pt idx="5">
                  <c:v>0.39901723932981942</c:v>
                </c:pt>
                <c:pt idx="6">
                  <c:v>0.38278005059792158</c:v>
                </c:pt>
                <c:pt idx="7">
                  <c:v>0.65148228063249103</c:v>
                </c:pt>
                <c:pt idx="8">
                  <c:v>0.8367889508115971</c:v>
                </c:pt>
                <c:pt idx="9">
                  <c:v>1.3649838688090483</c:v>
                </c:pt>
                <c:pt idx="10">
                  <c:v>0.85984040710651377</c:v>
                </c:pt>
                <c:pt idx="11">
                  <c:v>0.94194034992087516</c:v>
                </c:pt>
                <c:pt idx="12">
                  <c:v>1.6646163448121112</c:v>
                </c:pt>
                <c:pt idx="13">
                  <c:v>2.2042418954171734</c:v>
                </c:pt>
                <c:pt idx="14">
                  <c:v>3.4604713317853495</c:v>
                </c:pt>
                <c:pt idx="15">
                  <c:v>2.0234193198911745</c:v>
                </c:pt>
                <c:pt idx="16">
                  <c:v>3.8164144189574492</c:v>
                </c:pt>
                <c:pt idx="17">
                  <c:v>2.3186050584207103</c:v>
                </c:pt>
                <c:pt idx="18">
                  <c:v>2.852052043134583</c:v>
                </c:pt>
                <c:pt idx="19">
                  <c:v>2.8500976261734867</c:v>
                </c:pt>
                <c:pt idx="20">
                  <c:v>2.4011891578148106</c:v>
                </c:pt>
                <c:pt idx="21">
                  <c:v>1.6791224117978649</c:v>
                </c:pt>
                <c:pt idx="22">
                  <c:v>1.7678014886957225</c:v>
                </c:pt>
                <c:pt idx="23">
                  <c:v>1.9396130840346488</c:v>
                </c:pt>
                <c:pt idx="24">
                  <c:v>1.956072830745599</c:v>
                </c:pt>
                <c:pt idx="25">
                  <c:v>2.1080188427359579</c:v>
                </c:pt>
                <c:pt idx="26">
                  <c:v>1.5903209864603636</c:v>
                </c:pt>
                <c:pt idx="27">
                  <c:v>1.0617800945962566</c:v>
                </c:pt>
                <c:pt idx="28">
                  <c:v>1.4799712633280757</c:v>
                </c:pt>
                <c:pt idx="29">
                  <c:v>1.1456464188863635</c:v>
                </c:pt>
                <c:pt idx="30">
                  <c:v>0.87539232306660586</c:v>
                </c:pt>
                <c:pt idx="31">
                  <c:v>0.85312964100177091</c:v>
                </c:pt>
                <c:pt idx="32">
                  <c:v>0.54562926561161496</c:v>
                </c:pt>
                <c:pt idx="33">
                  <c:v>0.90945797220457059</c:v>
                </c:pt>
                <c:pt idx="34">
                  <c:v>1.1563155697795813</c:v>
                </c:pt>
                <c:pt idx="35">
                  <c:v>1.3014989966233155</c:v>
                </c:pt>
                <c:pt idx="36">
                  <c:v>1.2418004552063702</c:v>
                </c:pt>
                <c:pt idx="37">
                  <c:v>0.72023928722051722</c:v>
                </c:pt>
                <c:pt idx="38">
                  <c:v>0.86272515422467211</c:v>
                </c:pt>
                <c:pt idx="39">
                  <c:v>0.91795119977503936</c:v>
                </c:pt>
                <c:pt idx="40">
                  <c:v>1.8291027235417809</c:v>
                </c:pt>
                <c:pt idx="41">
                  <c:v>2.6858896620964998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60-4765-9061-01DAE47A64C9}"/>
            </c:ext>
          </c:extLst>
        </c:ser>
        <c:ser>
          <c:idx val="1"/>
          <c:order val="1"/>
          <c:tx>
            <c:strRef>
              <c:f>Hoja1!$G$15</c:f>
              <c:strCache>
                <c:ptCount val="1"/>
                <c:pt idx="0">
                  <c:v>sc2 demersal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Hoja1!$H$7:$AW$7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Hoja2!$H$15:$AW$15</c:f>
              <c:numCache>
                <c:formatCode>General</c:formatCode>
                <c:ptCount val="42"/>
                <c:pt idx="0">
                  <c:v>0.20419531540244809</c:v>
                </c:pt>
                <c:pt idx="1">
                  <c:v>0.25486534468368943</c:v>
                </c:pt>
                <c:pt idx="2">
                  <c:v>1.0249300473841891</c:v>
                </c:pt>
                <c:pt idx="3">
                  <c:v>0.60119786174330803</c:v>
                </c:pt>
                <c:pt idx="4">
                  <c:v>0.69815646147314714</c:v>
                </c:pt>
                <c:pt idx="5">
                  <c:v>0.61800608276048008</c:v>
                </c:pt>
                <c:pt idx="6">
                  <c:v>0.5686390292597252</c:v>
                </c:pt>
                <c:pt idx="7">
                  <c:v>0.86111567152788826</c:v>
                </c:pt>
                <c:pt idx="8">
                  <c:v>1.0638424878579971</c:v>
                </c:pt>
                <c:pt idx="9">
                  <c:v>1.7820781345996854</c:v>
                </c:pt>
                <c:pt idx="10">
                  <c:v>1.0054215287298744</c:v>
                </c:pt>
                <c:pt idx="11">
                  <c:v>1.1622063785133077</c:v>
                </c:pt>
                <c:pt idx="12">
                  <c:v>1.9964827898716822</c:v>
                </c:pt>
                <c:pt idx="13">
                  <c:v>2.5672965812572279</c:v>
                </c:pt>
                <c:pt idx="14">
                  <c:v>4.8642649444518335</c:v>
                </c:pt>
                <c:pt idx="15">
                  <c:v>2.1224611140762883</c:v>
                </c:pt>
                <c:pt idx="16">
                  <c:v>3.5491485850316531</c:v>
                </c:pt>
                <c:pt idx="17">
                  <c:v>2.353214323644488</c:v>
                </c:pt>
                <c:pt idx="18">
                  <c:v>2.7302817236304868</c:v>
                </c:pt>
                <c:pt idx="19">
                  <c:v>2.6976104013761444</c:v>
                </c:pt>
                <c:pt idx="20">
                  <c:v>2.5300297876622069</c:v>
                </c:pt>
                <c:pt idx="21">
                  <c:v>1.7512725726830807</c:v>
                </c:pt>
                <c:pt idx="22">
                  <c:v>1.880901068203884</c:v>
                </c:pt>
                <c:pt idx="23">
                  <c:v>2.0166269830151289</c:v>
                </c:pt>
                <c:pt idx="24">
                  <c:v>1.9789761197919695</c:v>
                </c:pt>
                <c:pt idx="25">
                  <c:v>2.0204361116197362</c:v>
                </c:pt>
                <c:pt idx="26">
                  <c:v>1.7570962022221994</c:v>
                </c:pt>
                <c:pt idx="27">
                  <c:v>1.203089711891981</c:v>
                </c:pt>
                <c:pt idx="28">
                  <c:v>1.5171886561470251</c:v>
                </c:pt>
                <c:pt idx="29">
                  <c:v>1.2811842231863106</c:v>
                </c:pt>
                <c:pt idx="30">
                  <c:v>1.105184259724038</c:v>
                </c:pt>
                <c:pt idx="31">
                  <c:v>1.2059443233769802</c:v>
                </c:pt>
                <c:pt idx="32">
                  <c:v>0.9045680362623636</c:v>
                </c:pt>
                <c:pt idx="33">
                  <c:v>1.1640891763269239</c:v>
                </c:pt>
                <c:pt idx="34">
                  <c:v>1.4426216729337822</c:v>
                </c:pt>
                <c:pt idx="35">
                  <c:v>1.7491952807887763</c:v>
                </c:pt>
                <c:pt idx="36">
                  <c:v>1.531002656754507</c:v>
                </c:pt>
                <c:pt idx="37">
                  <c:v>0.84911422820680671</c:v>
                </c:pt>
                <c:pt idx="38">
                  <c:v>0.85563471023657733</c:v>
                </c:pt>
                <c:pt idx="39">
                  <c:v>0.94589034095271596</c:v>
                </c:pt>
                <c:pt idx="40">
                  <c:v>1.5884442511384942</c:v>
                </c:pt>
                <c:pt idx="41">
                  <c:v>2.7303531506227805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60-4765-9061-01DAE47A64C9}"/>
            </c:ext>
          </c:extLst>
        </c:ser>
        <c:ser>
          <c:idx val="2"/>
          <c:order val="2"/>
          <c:tx>
            <c:strRef>
              <c:f>Hoja1!$G$21</c:f>
              <c:strCache>
                <c:ptCount val="1"/>
                <c:pt idx="0">
                  <c:v>sc3 demersal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Hoja1!$H$7:$AW$7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Hoja2!$H$23:$AW$23</c:f>
              <c:numCache>
                <c:formatCode>General</c:formatCode>
                <c:ptCount val="42"/>
                <c:pt idx="0">
                  <c:v>0.22154208523542651</c:v>
                </c:pt>
                <c:pt idx="1">
                  <c:v>0.38244019193877521</c:v>
                </c:pt>
                <c:pt idx="2">
                  <c:v>0.63498022946953214</c:v>
                </c:pt>
                <c:pt idx="3">
                  <c:v>0.47496996351349147</c:v>
                </c:pt>
                <c:pt idx="4">
                  <c:v>0.58235076365833849</c:v>
                </c:pt>
                <c:pt idx="5">
                  <c:v>0.55150505978773356</c:v>
                </c:pt>
                <c:pt idx="6">
                  <c:v>0.53146252586630727</c:v>
                </c:pt>
                <c:pt idx="7">
                  <c:v>0.83704321404038318</c:v>
                </c:pt>
                <c:pt idx="8">
                  <c:v>1.0274222818266461</c:v>
                </c:pt>
                <c:pt idx="9">
                  <c:v>1.6023505292157703</c:v>
                </c:pt>
                <c:pt idx="10">
                  <c:v>0.99941448437863056</c:v>
                </c:pt>
                <c:pt idx="11">
                  <c:v>1.0943175455116916</c:v>
                </c:pt>
                <c:pt idx="12">
                  <c:v>1.8317263636449423</c:v>
                </c:pt>
                <c:pt idx="13">
                  <c:v>2.3787800862951447</c:v>
                </c:pt>
                <c:pt idx="14">
                  <c:v>3.778364734547627</c:v>
                </c:pt>
                <c:pt idx="15">
                  <c:v>2.1322977452848049</c:v>
                </c:pt>
                <c:pt idx="16">
                  <c:v>3.8089103204083816</c:v>
                </c:pt>
                <c:pt idx="17">
                  <c:v>2.3394579558745834</c:v>
                </c:pt>
                <c:pt idx="18">
                  <c:v>2.847899948449427</c:v>
                </c:pt>
                <c:pt idx="19">
                  <c:v>2.8528907618501083</c:v>
                </c:pt>
                <c:pt idx="20">
                  <c:v>2.4954880103978043</c:v>
                </c:pt>
                <c:pt idx="21">
                  <c:v>1.7553614705182479</c:v>
                </c:pt>
                <c:pt idx="22">
                  <c:v>1.8605225503013068</c:v>
                </c:pt>
                <c:pt idx="23">
                  <c:v>2.0197573111991618</c:v>
                </c:pt>
                <c:pt idx="24">
                  <c:v>2.0150909455624371</c:v>
                </c:pt>
                <c:pt idx="25">
                  <c:v>2.1676228040732233</c:v>
                </c:pt>
                <c:pt idx="26">
                  <c:v>1.6813869382277418</c:v>
                </c:pt>
                <c:pt idx="27">
                  <c:v>1.1686780676558031</c:v>
                </c:pt>
                <c:pt idx="28">
                  <c:v>1.5542732430893142</c:v>
                </c:pt>
                <c:pt idx="29">
                  <c:v>1.2492086061398571</c:v>
                </c:pt>
                <c:pt idx="30">
                  <c:v>1.0050986830261393</c:v>
                </c:pt>
                <c:pt idx="31">
                  <c:v>0.97239466799909291</c:v>
                </c:pt>
                <c:pt idx="32">
                  <c:v>0.67984191610581679</c:v>
                </c:pt>
                <c:pt idx="33">
                  <c:v>1.0491190642321715</c:v>
                </c:pt>
                <c:pt idx="34">
                  <c:v>1.3022918260029805</c:v>
                </c:pt>
                <c:pt idx="35">
                  <c:v>1.450203527011366</c:v>
                </c:pt>
                <c:pt idx="36">
                  <c:v>1.3453662798095765</c:v>
                </c:pt>
                <c:pt idx="37">
                  <c:v>0.84488863018572613</c:v>
                </c:pt>
                <c:pt idx="38">
                  <c:v>1.0016137647694627</c:v>
                </c:pt>
                <c:pt idx="39">
                  <c:v>1.0646302753064572</c:v>
                </c:pt>
                <c:pt idx="40">
                  <c:v>2.0443552519991659</c:v>
                </c:pt>
                <c:pt idx="41">
                  <c:v>2.8166741083784581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460-4765-9061-01DAE47A6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7962064"/>
        <c:axId val="2047960816"/>
      </c:scatterChart>
      <c:valAx>
        <c:axId val="204796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0816"/>
        <c:crosses val="autoZero"/>
        <c:crossBetween val="midCat"/>
      </c:valAx>
      <c:valAx>
        <c:axId val="204796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2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762423447069113"/>
          <c:y val="5.6133712452610125E-2"/>
          <c:w val="0.24182020997375328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5.0925925925925923E-2"/>
          <c:w val="0.8524873140857393"/>
          <c:h val="0.84167468649752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Hoja1!$G$9</c:f>
              <c:strCache>
                <c:ptCount val="1"/>
                <c:pt idx="0">
                  <c:v>inicial pelagico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Hoja1!$H$7:$AW$7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Hoja2!$H$11:$AW$11</c:f>
              <c:numCache>
                <c:formatCode>General</c:formatCode>
                <c:ptCount val="42"/>
                <c:pt idx="0">
                  <c:v>0.79665070681884154</c:v>
                </c:pt>
                <c:pt idx="1">
                  <c:v>0.8017165717050696</c:v>
                </c:pt>
                <c:pt idx="2">
                  <c:v>0.81996125642634388</c:v>
                </c:pt>
                <c:pt idx="3">
                  <c:v>0.82838868180607284</c:v>
                </c:pt>
                <c:pt idx="4">
                  <c:v>0.93713054681481256</c:v>
                </c:pt>
                <c:pt idx="5">
                  <c:v>2.8717632070932391</c:v>
                </c:pt>
                <c:pt idx="6">
                  <c:v>2.4374664046011301</c:v>
                </c:pt>
                <c:pt idx="7">
                  <c:v>2.1483975224541498</c:v>
                </c:pt>
                <c:pt idx="8">
                  <c:v>2.1301178325808152</c:v>
                </c:pt>
                <c:pt idx="9">
                  <c:v>1.7530596942763645</c:v>
                </c:pt>
                <c:pt idx="10">
                  <c:v>1.0117684049141169</c:v>
                </c:pt>
                <c:pt idx="11">
                  <c:v>0.90291648826743665</c:v>
                </c:pt>
                <c:pt idx="12">
                  <c:v>1.1031353613112298</c:v>
                </c:pt>
                <c:pt idx="13">
                  <c:v>0.91870956891002853</c:v>
                </c:pt>
                <c:pt idx="14">
                  <c:v>0.94421507261163184</c:v>
                </c:pt>
                <c:pt idx="15">
                  <c:v>1.4612305189347354</c:v>
                </c:pt>
                <c:pt idx="16">
                  <c:v>1.7268971856358046</c:v>
                </c:pt>
                <c:pt idx="17">
                  <c:v>0.81287693390652982</c:v>
                </c:pt>
                <c:pt idx="18">
                  <c:v>4.0728766522018187</c:v>
                </c:pt>
                <c:pt idx="19">
                  <c:v>4.7002512631187834</c:v>
                </c:pt>
                <c:pt idx="20">
                  <c:v>7.2552131376618902</c:v>
                </c:pt>
                <c:pt idx="21">
                  <c:v>6.4810911651352985</c:v>
                </c:pt>
                <c:pt idx="22">
                  <c:v>2.8151240529841011</c:v>
                </c:pt>
                <c:pt idx="23">
                  <c:v>5.959855069700188</c:v>
                </c:pt>
                <c:pt idx="24">
                  <c:v>2.968043978392132</c:v>
                </c:pt>
                <c:pt idx="25">
                  <c:v>7.7214069588370275</c:v>
                </c:pt>
                <c:pt idx="26">
                  <c:v>6.3213423416538621</c:v>
                </c:pt>
                <c:pt idx="27">
                  <c:v>5.5661340393794028</c:v>
                </c:pt>
                <c:pt idx="28">
                  <c:v>3.9040552429779716</c:v>
                </c:pt>
                <c:pt idx="29">
                  <c:v>3.3932816217492818</c:v>
                </c:pt>
                <c:pt idx="30">
                  <c:v>2.8927298840291917</c:v>
                </c:pt>
                <c:pt idx="31">
                  <c:v>5.9782588883492345</c:v>
                </c:pt>
                <c:pt idx="32">
                  <c:v>2.8706159792063999</c:v>
                </c:pt>
                <c:pt idx="33">
                  <c:v>6.8140851611162141</c:v>
                </c:pt>
                <c:pt idx="34">
                  <c:v>3.7472500828207411</c:v>
                </c:pt>
                <c:pt idx="35">
                  <c:v>4.3453817241012773</c:v>
                </c:pt>
                <c:pt idx="36">
                  <c:v>5.5861027460361399</c:v>
                </c:pt>
                <c:pt idx="37">
                  <c:v>5.2996771290680069</c:v>
                </c:pt>
                <c:pt idx="38">
                  <c:v>3.3684513746639824</c:v>
                </c:pt>
                <c:pt idx="39">
                  <c:v>4.1432459806597635</c:v>
                </c:pt>
                <c:pt idx="40">
                  <c:v>7.1646114433661658</c:v>
                </c:pt>
                <c:pt idx="41">
                  <c:v>9.1021220152096181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C4-46BB-97D5-B0F8C595BBC8}"/>
            </c:ext>
          </c:extLst>
        </c:ser>
        <c:ser>
          <c:idx val="1"/>
          <c:order val="1"/>
          <c:tx>
            <c:strRef>
              <c:f>Hoja1!$G$18</c:f>
              <c:strCache>
                <c:ptCount val="1"/>
                <c:pt idx="0">
                  <c:v>sc 2pelagico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Hoja1!$H$7:$AW$7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Hoja2!$H$19:$AW$19</c:f>
              <c:numCache>
                <c:formatCode>General</c:formatCode>
                <c:ptCount val="42"/>
                <c:pt idx="0">
                  <c:v>0.79597737568972637</c:v>
                </c:pt>
                <c:pt idx="1">
                  <c:v>0.79730385773135004</c:v>
                </c:pt>
                <c:pt idx="2">
                  <c:v>0.82334668496586938</c:v>
                </c:pt>
                <c:pt idx="3">
                  <c:v>1.2481959656421999</c:v>
                </c:pt>
                <c:pt idx="4">
                  <c:v>2.0948174690819519</c:v>
                </c:pt>
                <c:pt idx="5">
                  <c:v>3.2624299318320515</c:v>
                </c:pt>
                <c:pt idx="6">
                  <c:v>2.4993625730889373</c:v>
                </c:pt>
                <c:pt idx="7">
                  <c:v>2.8064969660950081</c:v>
                </c:pt>
                <c:pt idx="8">
                  <c:v>3.0968722907090798</c:v>
                </c:pt>
                <c:pt idx="9">
                  <c:v>3.0126625021320166</c:v>
                </c:pt>
                <c:pt idx="10">
                  <c:v>1.6930779271623753</c:v>
                </c:pt>
                <c:pt idx="11">
                  <c:v>1.4324433393083178</c:v>
                </c:pt>
                <c:pt idx="12">
                  <c:v>1.9012104349772483</c:v>
                </c:pt>
                <c:pt idx="13">
                  <c:v>1.398222036466352</c:v>
                </c:pt>
                <c:pt idx="14">
                  <c:v>2.324845288012714</c:v>
                </c:pt>
                <c:pt idx="15">
                  <c:v>1.470507442932115</c:v>
                </c:pt>
                <c:pt idx="16">
                  <c:v>7.1545794928023199</c:v>
                </c:pt>
                <c:pt idx="17">
                  <c:v>1.2600429449471906</c:v>
                </c:pt>
                <c:pt idx="18">
                  <c:v>3.854661404276758</c:v>
                </c:pt>
                <c:pt idx="19">
                  <c:v>3.7430613682745069</c:v>
                </c:pt>
                <c:pt idx="20">
                  <c:v>5.3654702612073155</c:v>
                </c:pt>
                <c:pt idx="21">
                  <c:v>4.8861744660018509</c:v>
                </c:pt>
                <c:pt idx="22">
                  <c:v>2.1845219508695894</c:v>
                </c:pt>
                <c:pt idx="23">
                  <c:v>3.8703298080231212</c:v>
                </c:pt>
                <c:pt idx="24">
                  <c:v>1.8247118611128716</c:v>
                </c:pt>
                <c:pt idx="25">
                  <c:v>4.8769371247500626</c:v>
                </c:pt>
                <c:pt idx="26">
                  <c:v>5.360113334022536</c:v>
                </c:pt>
                <c:pt idx="27">
                  <c:v>4.4306144867028072</c:v>
                </c:pt>
                <c:pt idx="28">
                  <c:v>3.2463371284417519</c:v>
                </c:pt>
                <c:pt idx="29">
                  <c:v>2.9066154530690822</c:v>
                </c:pt>
                <c:pt idx="30">
                  <c:v>2.7549365252795264</c:v>
                </c:pt>
                <c:pt idx="31">
                  <c:v>4.8065077882081226</c:v>
                </c:pt>
                <c:pt idx="32">
                  <c:v>1.9860117088442852</c:v>
                </c:pt>
                <c:pt idx="33">
                  <c:v>5.2125089629667301</c:v>
                </c:pt>
                <c:pt idx="34">
                  <c:v>2.9891623369508635</c:v>
                </c:pt>
                <c:pt idx="35">
                  <c:v>3.7884725388033842</c:v>
                </c:pt>
                <c:pt idx="36">
                  <c:v>4.4030797363306888</c:v>
                </c:pt>
                <c:pt idx="37">
                  <c:v>4.2431543681133626</c:v>
                </c:pt>
                <c:pt idx="38">
                  <c:v>1.5527769398523876</c:v>
                </c:pt>
                <c:pt idx="39">
                  <c:v>1.0119356147874992</c:v>
                </c:pt>
                <c:pt idx="40">
                  <c:v>1.1570314121680738</c:v>
                </c:pt>
                <c:pt idx="41">
                  <c:v>0.88263525215193528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C4-46BB-97D5-B0F8C595BBC8}"/>
            </c:ext>
          </c:extLst>
        </c:ser>
        <c:ser>
          <c:idx val="2"/>
          <c:order val="2"/>
          <c:tx>
            <c:strRef>
              <c:f>Hoja1!$G$25</c:f>
              <c:strCache>
                <c:ptCount val="1"/>
                <c:pt idx="0">
                  <c:v>sc3 pelagico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Hoja1!$H$7:$AW$7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Hoja2!$H$27:$AW$27</c:f>
              <c:numCache>
                <c:formatCode>General</c:formatCode>
                <c:ptCount val="42"/>
                <c:pt idx="0">
                  <c:v>0.79657776659350965</c:v>
                </c:pt>
                <c:pt idx="1">
                  <c:v>0.80119706945789115</c:v>
                </c:pt>
                <c:pt idx="2">
                  <c:v>0.80960653243528047</c:v>
                </c:pt>
                <c:pt idx="3">
                  <c:v>0.85146942557752181</c:v>
                </c:pt>
                <c:pt idx="4">
                  <c:v>0.92987981279593412</c:v>
                </c:pt>
                <c:pt idx="5">
                  <c:v>2.7137148290849122</c:v>
                </c:pt>
                <c:pt idx="6">
                  <c:v>2.2422341278310358</c:v>
                </c:pt>
                <c:pt idx="7">
                  <c:v>2.0927926309178524</c:v>
                </c:pt>
                <c:pt idx="8">
                  <c:v>2.1391494268150479</c:v>
                </c:pt>
                <c:pt idx="9">
                  <c:v>1.7687343967050859</c:v>
                </c:pt>
                <c:pt idx="10">
                  <c:v>1.0124971331801247</c:v>
                </c:pt>
                <c:pt idx="11">
                  <c:v>0.90640546162441793</c:v>
                </c:pt>
                <c:pt idx="12">
                  <c:v>1.1062311228979951</c:v>
                </c:pt>
                <c:pt idx="13">
                  <c:v>0.92306027166158178</c:v>
                </c:pt>
                <c:pt idx="14">
                  <c:v>0.95001995811749895</c:v>
                </c:pt>
                <c:pt idx="15">
                  <c:v>1.4421878354464961</c:v>
                </c:pt>
                <c:pt idx="16">
                  <c:v>1.7308160376305362</c:v>
                </c:pt>
                <c:pt idx="17">
                  <c:v>0.8132803318441818</c:v>
                </c:pt>
                <c:pt idx="18">
                  <c:v>3.9551143469334735</c:v>
                </c:pt>
                <c:pt idx="19">
                  <c:v>4.5712548471912884</c:v>
                </c:pt>
                <c:pt idx="20">
                  <c:v>7.1230006903451564</c:v>
                </c:pt>
                <c:pt idx="21">
                  <c:v>6.2844717669060479</c:v>
                </c:pt>
                <c:pt idx="22">
                  <c:v>2.7561073258705151</c:v>
                </c:pt>
                <c:pt idx="23">
                  <c:v>5.8888116023067223</c:v>
                </c:pt>
                <c:pt idx="24">
                  <c:v>2.9106699400873564</c:v>
                </c:pt>
                <c:pt idx="25">
                  <c:v>7.4840688415881456</c:v>
                </c:pt>
                <c:pt idx="26">
                  <c:v>6.0536439468139562</c:v>
                </c:pt>
                <c:pt idx="27">
                  <c:v>5.4148106650853922</c:v>
                </c:pt>
                <c:pt idx="28">
                  <c:v>3.8048655690015889</c:v>
                </c:pt>
                <c:pt idx="29">
                  <c:v>3.3125076368064437</c:v>
                </c:pt>
                <c:pt idx="30">
                  <c:v>2.8170509954044798</c:v>
                </c:pt>
                <c:pt idx="31">
                  <c:v>5.8048991037754103</c:v>
                </c:pt>
                <c:pt idx="32">
                  <c:v>2.7901727850649847</c:v>
                </c:pt>
                <c:pt idx="33">
                  <c:v>6.3935050066513082</c:v>
                </c:pt>
                <c:pt idx="34">
                  <c:v>3.7620181985902064</c:v>
                </c:pt>
                <c:pt idx="35">
                  <c:v>4.2975926233475956</c:v>
                </c:pt>
                <c:pt idx="36">
                  <c:v>5.4441166953454712</c:v>
                </c:pt>
                <c:pt idx="37">
                  <c:v>5.0688792653694446</c:v>
                </c:pt>
                <c:pt idx="38">
                  <c:v>3.1525077077663068</c:v>
                </c:pt>
                <c:pt idx="39">
                  <c:v>3.7187408495039374</c:v>
                </c:pt>
                <c:pt idx="40">
                  <c:v>7.2767299878072453</c:v>
                </c:pt>
                <c:pt idx="41">
                  <c:v>28.994859226047694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C4-46BB-97D5-B0F8C595B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7962064"/>
        <c:axId val="2047960816"/>
      </c:scatterChart>
      <c:valAx>
        <c:axId val="204796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0816"/>
        <c:crosses val="autoZero"/>
        <c:crossBetween val="midCat"/>
      </c:valAx>
      <c:valAx>
        <c:axId val="204796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2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117935258092735"/>
          <c:y val="5.6133712452610125E-2"/>
          <c:w val="0.23215398075240595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86482939632541E-2"/>
          <c:y val="5.0925925925925923E-2"/>
          <c:w val="0.8754044181977253"/>
          <c:h val="0.84167468649752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Hoja1!$G$6</c:f>
              <c:strCache>
                <c:ptCount val="1"/>
                <c:pt idx="0">
                  <c:v>inicial demersal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Hoja1!$H$7:$AW$7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Hoja2!$H$6:$AW$6</c:f>
              <c:numCache>
                <c:formatCode>General</c:formatCode>
                <c:ptCount val="42"/>
                <c:pt idx="0">
                  <c:v>0.10058295661906089</c:v>
                </c:pt>
                <c:pt idx="1">
                  <c:v>0.19476548192927234</c:v>
                </c:pt>
                <c:pt idx="2">
                  <c:v>0.44499717847548581</c:v>
                </c:pt>
                <c:pt idx="3">
                  <c:v>0.32676396364969351</c:v>
                </c:pt>
                <c:pt idx="4">
                  <c:v>0.42882311282878732</c:v>
                </c:pt>
                <c:pt idx="5">
                  <c:v>0.39901723932981942</c:v>
                </c:pt>
                <c:pt idx="6">
                  <c:v>0.38278005059792158</c:v>
                </c:pt>
                <c:pt idx="7">
                  <c:v>0.65148228063249103</c:v>
                </c:pt>
                <c:pt idx="8">
                  <c:v>0.8367889508115971</c:v>
                </c:pt>
                <c:pt idx="9">
                  <c:v>1.3649838688090483</c:v>
                </c:pt>
                <c:pt idx="10">
                  <c:v>0.85984040710651377</c:v>
                </c:pt>
                <c:pt idx="11">
                  <c:v>0.94194034992087516</c:v>
                </c:pt>
                <c:pt idx="12">
                  <c:v>1.6646163448121112</c:v>
                </c:pt>
                <c:pt idx="13">
                  <c:v>2.2042418954171734</c:v>
                </c:pt>
                <c:pt idx="14">
                  <c:v>3.4604713317853495</c:v>
                </c:pt>
                <c:pt idx="15">
                  <c:v>2.0234193198911745</c:v>
                </c:pt>
                <c:pt idx="16">
                  <c:v>3.8164144189574492</c:v>
                </c:pt>
                <c:pt idx="17">
                  <c:v>2.3186050584207103</c:v>
                </c:pt>
                <c:pt idx="18">
                  <c:v>2.852052043134583</c:v>
                </c:pt>
                <c:pt idx="19">
                  <c:v>2.8500976261734867</c:v>
                </c:pt>
                <c:pt idx="20">
                  <c:v>2.4011891578148106</c:v>
                </c:pt>
                <c:pt idx="21">
                  <c:v>1.6791224117978649</c:v>
                </c:pt>
                <c:pt idx="22">
                  <c:v>1.7678014886957225</c:v>
                </c:pt>
                <c:pt idx="23">
                  <c:v>1.9396130840346488</c:v>
                </c:pt>
                <c:pt idx="24">
                  <c:v>1.956072830745599</c:v>
                </c:pt>
                <c:pt idx="25">
                  <c:v>2.1080188427359579</c:v>
                </c:pt>
                <c:pt idx="26">
                  <c:v>1.5903209864603636</c:v>
                </c:pt>
                <c:pt idx="27">
                  <c:v>1.0617800945962566</c:v>
                </c:pt>
                <c:pt idx="28">
                  <c:v>1.4799712633280757</c:v>
                </c:pt>
                <c:pt idx="29">
                  <c:v>1.1456464188863635</c:v>
                </c:pt>
                <c:pt idx="30">
                  <c:v>0.87539232306660586</c:v>
                </c:pt>
                <c:pt idx="31">
                  <c:v>0.85312964100177091</c:v>
                </c:pt>
                <c:pt idx="32">
                  <c:v>0.54562926561161496</c:v>
                </c:pt>
                <c:pt idx="33">
                  <c:v>0.90945797220457059</c:v>
                </c:pt>
                <c:pt idx="34">
                  <c:v>1.1563155697795813</c:v>
                </c:pt>
                <c:pt idx="35">
                  <c:v>1.3014989966233155</c:v>
                </c:pt>
                <c:pt idx="36">
                  <c:v>1.2418004552063702</c:v>
                </c:pt>
                <c:pt idx="37">
                  <c:v>0.72023928722051722</c:v>
                </c:pt>
                <c:pt idx="38">
                  <c:v>0.86272515422467211</c:v>
                </c:pt>
                <c:pt idx="39">
                  <c:v>0.91795119977503936</c:v>
                </c:pt>
                <c:pt idx="40">
                  <c:v>1.8291027235417809</c:v>
                </c:pt>
                <c:pt idx="41">
                  <c:v>2.6858896620964998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A2-40EE-ABDE-A25B01B3DC39}"/>
            </c:ext>
          </c:extLst>
        </c:ser>
        <c:ser>
          <c:idx val="1"/>
          <c:order val="1"/>
          <c:tx>
            <c:strRef>
              <c:f>Hoja1!$G$15</c:f>
              <c:strCache>
                <c:ptCount val="1"/>
                <c:pt idx="0">
                  <c:v>sc2 demersal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Hoja1!$H$7:$AW$7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Hoja2!$H$15:$AW$15</c:f>
              <c:numCache>
                <c:formatCode>General</c:formatCode>
                <c:ptCount val="42"/>
                <c:pt idx="0">
                  <c:v>0.20419531540244809</c:v>
                </c:pt>
                <c:pt idx="1">
                  <c:v>0.25486534468368943</c:v>
                </c:pt>
                <c:pt idx="2">
                  <c:v>1.0249300473841891</c:v>
                </c:pt>
                <c:pt idx="3">
                  <c:v>0.60119786174330803</c:v>
                </c:pt>
                <c:pt idx="4">
                  <c:v>0.69815646147314714</c:v>
                </c:pt>
                <c:pt idx="5">
                  <c:v>0.61800608276048008</c:v>
                </c:pt>
                <c:pt idx="6">
                  <c:v>0.5686390292597252</c:v>
                </c:pt>
                <c:pt idx="7">
                  <c:v>0.86111567152788826</c:v>
                </c:pt>
                <c:pt idx="8">
                  <c:v>1.0638424878579971</c:v>
                </c:pt>
                <c:pt idx="9">
                  <c:v>1.7820781345996854</c:v>
                </c:pt>
                <c:pt idx="10">
                  <c:v>1.0054215287298744</c:v>
                </c:pt>
                <c:pt idx="11">
                  <c:v>1.1622063785133077</c:v>
                </c:pt>
                <c:pt idx="12">
                  <c:v>1.9964827898716822</c:v>
                </c:pt>
                <c:pt idx="13">
                  <c:v>2.5672965812572279</c:v>
                </c:pt>
                <c:pt idx="14">
                  <c:v>4.8642649444518335</c:v>
                </c:pt>
                <c:pt idx="15">
                  <c:v>2.1224611140762883</c:v>
                </c:pt>
                <c:pt idx="16">
                  <c:v>3.5491485850316531</c:v>
                </c:pt>
                <c:pt idx="17">
                  <c:v>2.353214323644488</c:v>
                </c:pt>
                <c:pt idx="18">
                  <c:v>2.7302817236304868</c:v>
                </c:pt>
                <c:pt idx="19">
                  <c:v>2.6976104013761444</c:v>
                </c:pt>
                <c:pt idx="20">
                  <c:v>2.5300297876622069</c:v>
                </c:pt>
                <c:pt idx="21">
                  <c:v>1.7512725726830807</c:v>
                </c:pt>
                <c:pt idx="22">
                  <c:v>1.880901068203884</c:v>
                </c:pt>
                <c:pt idx="23">
                  <c:v>2.0166269830151289</c:v>
                </c:pt>
                <c:pt idx="24">
                  <c:v>1.9789761197919695</c:v>
                </c:pt>
                <c:pt idx="25">
                  <c:v>2.0204361116197362</c:v>
                </c:pt>
                <c:pt idx="26">
                  <c:v>1.7570962022221994</c:v>
                </c:pt>
                <c:pt idx="27">
                  <c:v>1.203089711891981</c:v>
                </c:pt>
                <c:pt idx="28">
                  <c:v>1.5171886561470251</c:v>
                </c:pt>
                <c:pt idx="29">
                  <c:v>1.2811842231863106</c:v>
                </c:pt>
                <c:pt idx="30">
                  <c:v>1.105184259724038</c:v>
                </c:pt>
                <c:pt idx="31">
                  <c:v>1.2059443233769802</c:v>
                </c:pt>
                <c:pt idx="32">
                  <c:v>0.9045680362623636</c:v>
                </c:pt>
                <c:pt idx="33">
                  <c:v>1.1640891763269239</c:v>
                </c:pt>
                <c:pt idx="34">
                  <c:v>1.4426216729337822</c:v>
                </c:pt>
                <c:pt idx="35">
                  <c:v>1.7491952807887763</c:v>
                </c:pt>
                <c:pt idx="36">
                  <c:v>1.531002656754507</c:v>
                </c:pt>
                <c:pt idx="37">
                  <c:v>0.84911422820680671</c:v>
                </c:pt>
                <c:pt idx="38">
                  <c:v>0.85563471023657733</c:v>
                </c:pt>
                <c:pt idx="39">
                  <c:v>0.94589034095271596</c:v>
                </c:pt>
                <c:pt idx="40">
                  <c:v>1.5884442511384942</c:v>
                </c:pt>
                <c:pt idx="41">
                  <c:v>2.7303531506227805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A2-40EE-ABDE-A25B01B3DC39}"/>
            </c:ext>
          </c:extLst>
        </c:ser>
        <c:ser>
          <c:idx val="2"/>
          <c:order val="2"/>
          <c:tx>
            <c:strRef>
              <c:f>Hoja1!$G$21</c:f>
              <c:strCache>
                <c:ptCount val="1"/>
                <c:pt idx="0">
                  <c:v>sc3 demersal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Hoja1!$H$7:$AW$7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Hoja2!$H$23:$AW$23</c:f>
              <c:numCache>
                <c:formatCode>General</c:formatCode>
                <c:ptCount val="42"/>
                <c:pt idx="0">
                  <c:v>0.22154208523542651</c:v>
                </c:pt>
                <c:pt idx="1">
                  <c:v>0.38244019193877521</c:v>
                </c:pt>
                <c:pt idx="2">
                  <c:v>0.63498022946953214</c:v>
                </c:pt>
                <c:pt idx="3">
                  <c:v>0.47496996351349147</c:v>
                </c:pt>
                <c:pt idx="4">
                  <c:v>0.58235076365833849</c:v>
                </c:pt>
                <c:pt idx="5">
                  <c:v>0.55150505978773356</c:v>
                </c:pt>
                <c:pt idx="6">
                  <c:v>0.53146252586630727</c:v>
                </c:pt>
                <c:pt idx="7">
                  <c:v>0.83704321404038318</c:v>
                </c:pt>
                <c:pt idx="8">
                  <c:v>1.0274222818266461</c:v>
                </c:pt>
                <c:pt idx="9">
                  <c:v>1.6023505292157703</c:v>
                </c:pt>
                <c:pt idx="10">
                  <c:v>0.99941448437863056</c:v>
                </c:pt>
                <c:pt idx="11">
                  <c:v>1.0943175455116916</c:v>
                </c:pt>
                <c:pt idx="12">
                  <c:v>1.8317263636449423</c:v>
                </c:pt>
                <c:pt idx="13">
                  <c:v>2.3787800862951447</c:v>
                </c:pt>
                <c:pt idx="14">
                  <c:v>3.778364734547627</c:v>
                </c:pt>
                <c:pt idx="15">
                  <c:v>2.1322977452848049</c:v>
                </c:pt>
                <c:pt idx="16">
                  <c:v>3.8089103204083816</c:v>
                </c:pt>
                <c:pt idx="17">
                  <c:v>2.3394579558745834</c:v>
                </c:pt>
                <c:pt idx="18">
                  <c:v>2.847899948449427</c:v>
                </c:pt>
                <c:pt idx="19">
                  <c:v>2.8528907618501083</c:v>
                </c:pt>
                <c:pt idx="20">
                  <c:v>2.4954880103978043</c:v>
                </c:pt>
                <c:pt idx="21">
                  <c:v>1.7553614705182479</c:v>
                </c:pt>
                <c:pt idx="22">
                  <c:v>1.8605225503013068</c:v>
                </c:pt>
                <c:pt idx="23">
                  <c:v>2.0197573111991618</c:v>
                </c:pt>
                <c:pt idx="24">
                  <c:v>2.0150909455624371</c:v>
                </c:pt>
                <c:pt idx="25">
                  <c:v>2.1676228040732233</c:v>
                </c:pt>
                <c:pt idx="26">
                  <c:v>1.6813869382277418</c:v>
                </c:pt>
                <c:pt idx="27">
                  <c:v>1.1686780676558031</c:v>
                </c:pt>
                <c:pt idx="28">
                  <c:v>1.5542732430893142</c:v>
                </c:pt>
                <c:pt idx="29">
                  <c:v>1.2492086061398571</c:v>
                </c:pt>
                <c:pt idx="30">
                  <c:v>1.0050986830261393</c:v>
                </c:pt>
                <c:pt idx="31">
                  <c:v>0.97239466799909291</c:v>
                </c:pt>
                <c:pt idx="32">
                  <c:v>0.67984191610581679</c:v>
                </c:pt>
                <c:pt idx="33">
                  <c:v>1.0491190642321715</c:v>
                </c:pt>
                <c:pt idx="34">
                  <c:v>1.3022918260029805</c:v>
                </c:pt>
                <c:pt idx="35">
                  <c:v>1.450203527011366</c:v>
                </c:pt>
                <c:pt idx="36">
                  <c:v>1.3453662798095765</c:v>
                </c:pt>
                <c:pt idx="37">
                  <c:v>0.84488863018572613</c:v>
                </c:pt>
                <c:pt idx="38">
                  <c:v>1.0016137647694627</c:v>
                </c:pt>
                <c:pt idx="39">
                  <c:v>1.0646302753064572</c:v>
                </c:pt>
                <c:pt idx="40">
                  <c:v>2.0443552519991659</c:v>
                </c:pt>
                <c:pt idx="41">
                  <c:v>2.8166741083784581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A2-40EE-ABDE-A25B01B3D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7962064"/>
        <c:axId val="2047960816"/>
      </c:scatterChart>
      <c:valAx>
        <c:axId val="204796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0816"/>
        <c:crosses val="autoZero"/>
        <c:crossBetween val="midCat"/>
      </c:valAx>
      <c:valAx>
        <c:axId val="204796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2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762423447069113"/>
          <c:y val="5.6133712452610125E-2"/>
          <c:w val="0.24182020997375328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5.0925925925925923E-2"/>
          <c:w val="0.8524873140857393"/>
          <c:h val="0.84167468649752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Hoja1!$G$9</c:f>
              <c:strCache>
                <c:ptCount val="1"/>
                <c:pt idx="0">
                  <c:v>inicial pelagico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Hoja1!$H$7:$AW$7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Hoja2!$H$11:$AW$11</c:f>
              <c:numCache>
                <c:formatCode>General</c:formatCode>
                <c:ptCount val="42"/>
                <c:pt idx="0">
                  <c:v>0.79665070681884154</c:v>
                </c:pt>
                <c:pt idx="1">
                  <c:v>0.8017165717050696</c:v>
                </c:pt>
                <c:pt idx="2">
                  <c:v>0.81996125642634388</c:v>
                </c:pt>
                <c:pt idx="3">
                  <c:v>0.82838868180607284</c:v>
                </c:pt>
                <c:pt idx="4">
                  <c:v>0.93713054681481256</c:v>
                </c:pt>
                <c:pt idx="5">
                  <c:v>2.8717632070932391</c:v>
                </c:pt>
                <c:pt idx="6">
                  <c:v>2.4374664046011301</c:v>
                </c:pt>
                <c:pt idx="7">
                  <c:v>2.1483975224541498</c:v>
                </c:pt>
                <c:pt idx="8">
                  <c:v>2.1301178325808152</c:v>
                </c:pt>
                <c:pt idx="9">
                  <c:v>1.7530596942763645</c:v>
                </c:pt>
                <c:pt idx="10">
                  <c:v>1.0117684049141169</c:v>
                </c:pt>
                <c:pt idx="11">
                  <c:v>0.90291648826743665</c:v>
                </c:pt>
                <c:pt idx="12">
                  <c:v>1.1031353613112298</c:v>
                </c:pt>
                <c:pt idx="13">
                  <c:v>0.91870956891002853</c:v>
                </c:pt>
                <c:pt idx="14">
                  <c:v>0.94421507261163184</c:v>
                </c:pt>
                <c:pt idx="15">
                  <c:v>1.4612305189347354</c:v>
                </c:pt>
                <c:pt idx="16">
                  <c:v>1.7268971856358046</c:v>
                </c:pt>
                <c:pt idx="17">
                  <c:v>0.81287693390652982</c:v>
                </c:pt>
                <c:pt idx="18">
                  <c:v>4.0728766522018187</c:v>
                </c:pt>
                <c:pt idx="19">
                  <c:v>4.7002512631187834</c:v>
                </c:pt>
                <c:pt idx="20">
                  <c:v>7.2552131376618902</c:v>
                </c:pt>
                <c:pt idx="21">
                  <c:v>6.4810911651352985</c:v>
                </c:pt>
                <c:pt idx="22">
                  <c:v>2.8151240529841011</c:v>
                </c:pt>
                <c:pt idx="23">
                  <c:v>5.959855069700188</c:v>
                </c:pt>
                <c:pt idx="24">
                  <c:v>2.968043978392132</c:v>
                </c:pt>
                <c:pt idx="25">
                  <c:v>7.7214069588370275</c:v>
                </c:pt>
                <c:pt idx="26">
                  <c:v>6.3213423416538621</c:v>
                </c:pt>
                <c:pt idx="27">
                  <c:v>5.5661340393794028</c:v>
                </c:pt>
                <c:pt idx="28">
                  <c:v>3.9040552429779716</c:v>
                </c:pt>
                <c:pt idx="29">
                  <c:v>3.3932816217492818</c:v>
                </c:pt>
                <c:pt idx="30">
                  <c:v>2.8927298840291917</c:v>
                </c:pt>
                <c:pt idx="31">
                  <c:v>5.9782588883492345</c:v>
                </c:pt>
                <c:pt idx="32">
                  <c:v>2.8706159792063999</c:v>
                </c:pt>
                <c:pt idx="33">
                  <c:v>6.8140851611162141</c:v>
                </c:pt>
                <c:pt idx="34">
                  <c:v>3.7472500828207411</c:v>
                </c:pt>
                <c:pt idx="35">
                  <c:v>4.3453817241012773</c:v>
                </c:pt>
                <c:pt idx="36">
                  <c:v>5.5861027460361399</c:v>
                </c:pt>
                <c:pt idx="37">
                  <c:v>5.2996771290680069</c:v>
                </c:pt>
                <c:pt idx="38">
                  <c:v>3.3684513746639824</c:v>
                </c:pt>
                <c:pt idx="39">
                  <c:v>4.1432459806597635</c:v>
                </c:pt>
                <c:pt idx="40">
                  <c:v>7.1646114433661658</c:v>
                </c:pt>
                <c:pt idx="41">
                  <c:v>9.1021220152096181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7A-41D2-9C81-5F4673130F11}"/>
            </c:ext>
          </c:extLst>
        </c:ser>
        <c:ser>
          <c:idx val="1"/>
          <c:order val="1"/>
          <c:tx>
            <c:strRef>
              <c:f>Hoja1!$G$18</c:f>
              <c:strCache>
                <c:ptCount val="1"/>
                <c:pt idx="0">
                  <c:v>sc 2pelagico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Hoja1!$H$7:$AW$7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Hoja2!$H$19:$AW$19</c:f>
              <c:numCache>
                <c:formatCode>General</c:formatCode>
                <c:ptCount val="42"/>
                <c:pt idx="0">
                  <c:v>0.79597737568972637</c:v>
                </c:pt>
                <c:pt idx="1">
                  <c:v>0.79730385773135004</c:v>
                </c:pt>
                <c:pt idx="2">
                  <c:v>0.82334668496586938</c:v>
                </c:pt>
                <c:pt idx="3">
                  <c:v>1.2481959656421999</c:v>
                </c:pt>
                <c:pt idx="4">
                  <c:v>2.0948174690819519</c:v>
                </c:pt>
                <c:pt idx="5">
                  <c:v>3.2624299318320515</c:v>
                </c:pt>
                <c:pt idx="6">
                  <c:v>2.4993625730889373</c:v>
                </c:pt>
                <c:pt idx="7">
                  <c:v>2.8064969660950081</c:v>
                </c:pt>
                <c:pt idx="8">
                  <c:v>3.0968722907090798</c:v>
                </c:pt>
                <c:pt idx="9">
                  <c:v>3.0126625021320166</c:v>
                </c:pt>
                <c:pt idx="10">
                  <c:v>1.6930779271623753</c:v>
                </c:pt>
                <c:pt idx="11">
                  <c:v>1.4324433393083178</c:v>
                </c:pt>
                <c:pt idx="12">
                  <c:v>1.9012104349772483</c:v>
                </c:pt>
                <c:pt idx="13">
                  <c:v>1.398222036466352</c:v>
                </c:pt>
                <c:pt idx="14">
                  <c:v>2.324845288012714</c:v>
                </c:pt>
                <c:pt idx="15">
                  <c:v>1.470507442932115</c:v>
                </c:pt>
                <c:pt idx="16">
                  <c:v>7.1545794928023199</c:v>
                </c:pt>
                <c:pt idx="17">
                  <c:v>1.2600429449471906</c:v>
                </c:pt>
                <c:pt idx="18">
                  <c:v>3.854661404276758</c:v>
                </c:pt>
                <c:pt idx="19">
                  <c:v>3.7430613682745069</c:v>
                </c:pt>
                <c:pt idx="20">
                  <c:v>5.3654702612073155</c:v>
                </c:pt>
                <c:pt idx="21">
                  <c:v>4.8861744660018509</c:v>
                </c:pt>
                <c:pt idx="22">
                  <c:v>2.1845219508695894</c:v>
                </c:pt>
                <c:pt idx="23">
                  <c:v>3.8703298080231212</c:v>
                </c:pt>
                <c:pt idx="24">
                  <c:v>1.8247118611128716</c:v>
                </c:pt>
                <c:pt idx="25">
                  <c:v>4.8769371247500626</c:v>
                </c:pt>
                <c:pt idx="26">
                  <c:v>5.360113334022536</c:v>
                </c:pt>
                <c:pt idx="27">
                  <c:v>4.4306144867028072</c:v>
                </c:pt>
                <c:pt idx="28">
                  <c:v>3.2463371284417519</c:v>
                </c:pt>
                <c:pt idx="29">
                  <c:v>2.9066154530690822</c:v>
                </c:pt>
                <c:pt idx="30">
                  <c:v>2.7549365252795264</c:v>
                </c:pt>
                <c:pt idx="31">
                  <c:v>4.8065077882081226</c:v>
                </c:pt>
                <c:pt idx="32">
                  <c:v>1.9860117088442852</c:v>
                </c:pt>
                <c:pt idx="33">
                  <c:v>5.2125089629667301</c:v>
                </c:pt>
                <c:pt idx="34">
                  <c:v>2.9891623369508635</c:v>
                </c:pt>
                <c:pt idx="35">
                  <c:v>3.7884725388033842</c:v>
                </c:pt>
                <c:pt idx="36">
                  <c:v>4.4030797363306888</c:v>
                </c:pt>
                <c:pt idx="37">
                  <c:v>4.2431543681133626</c:v>
                </c:pt>
                <c:pt idx="38">
                  <c:v>1.5527769398523876</c:v>
                </c:pt>
                <c:pt idx="39">
                  <c:v>1.0119356147874992</c:v>
                </c:pt>
                <c:pt idx="40">
                  <c:v>1.1570314121680738</c:v>
                </c:pt>
                <c:pt idx="41">
                  <c:v>0.88263525215193528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7A-41D2-9C81-5F4673130F11}"/>
            </c:ext>
          </c:extLst>
        </c:ser>
        <c:ser>
          <c:idx val="2"/>
          <c:order val="2"/>
          <c:tx>
            <c:strRef>
              <c:f>Hoja1!$G$25</c:f>
              <c:strCache>
                <c:ptCount val="1"/>
                <c:pt idx="0">
                  <c:v>sc3 pelagico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Hoja1!$H$7:$AW$7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xVal>
          <c:yVal>
            <c:numRef>
              <c:f>Hoja2!$H$27:$AW$27</c:f>
              <c:numCache>
                <c:formatCode>General</c:formatCode>
                <c:ptCount val="42"/>
                <c:pt idx="0">
                  <c:v>0.79657776659350965</c:v>
                </c:pt>
                <c:pt idx="1">
                  <c:v>0.80119706945789115</c:v>
                </c:pt>
                <c:pt idx="2">
                  <c:v>0.80960653243528047</c:v>
                </c:pt>
                <c:pt idx="3">
                  <c:v>0.85146942557752181</c:v>
                </c:pt>
                <c:pt idx="4">
                  <c:v>0.92987981279593412</c:v>
                </c:pt>
                <c:pt idx="5">
                  <c:v>2.7137148290849122</c:v>
                </c:pt>
                <c:pt idx="6">
                  <c:v>2.2422341278310358</c:v>
                </c:pt>
                <c:pt idx="7">
                  <c:v>2.0927926309178524</c:v>
                </c:pt>
                <c:pt idx="8">
                  <c:v>2.1391494268150479</c:v>
                </c:pt>
                <c:pt idx="9">
                  <c:v>1.7687343967050859</c:v>
                </c:pt>
                <c:pt idx="10">
                  <c:v>1.0124971331801247</c:v>
                </c:pt>
                <c:pt idx="11">
                  <c:v>0.90640546162441793</c:v>
                </c:pt>
                <c:pt idx="12">
                  <c:v>1.1062311228979951</c:v>
                </c:pt>
                <c:pt idx="13">
                  <c:v>0.92306027166158178</c:v>
                </c:pt>
                <c:pt idx="14">
                  <c:v>0.95001995811749895</c:v>
                </c:pt>
                <c:pt idx="15">
                  <c:v>1.4421878354464961</c:v>
                </c:pt>
                <c:pt idx="16">
                  <c:v>1.7308160376305362</c:v>
                </c:pt>
                <c:pt idx="17">
                  <c:v>0.8132803318441818</c:v>
                </c:pt>
                <c:pt idx="18">
                  <c:v>3.9551143469334735</c:v>
                </c:pt>
                <c:pt idx="19">
                  <c:v>4.5712548471912884</c:v>
                </c:pt>
                <c:pt idx="20">
                  <c:v>7.1230006903451564</c:v>
                </c:pt>
                <c:pt idx="21">
                  <c:v>6.2844717669060479</c:v>
                </c:pt>
                <c:pt idx="22">
                  <c:v>2.7561073258705151</c:v>
                </c:pt>
                <c:pt idx="23">
                  <c:v>5.8888116023067223</c:v>
                </c:pt>
                <c:pt idx="24">
                  <c:v>2.9106699400873564</c:v>
                </c:pt>
                <c:pt idx="25">
                  <c:v>7.4840688415881456</c:v>
                </c:pt>
                <c:pt idx="26">
                  <c:v>6.0536439468139562</c:v>
                </c:pt>
                <c:pt idx="27">
                  <c:v>5.4148106650853922</c:v>
                </c:pt>
                <c:pt idx="28">
                  <c:v>3.8048655690015889</c:v>
                </c:pt>
                <c:pt idx="29">
                  <c:v>3.3125076368064437</c:v>
                </c:pt>
                <c:pt idx="30">
                  <c:v>2.8170509954044798</c:v>
                </c:pt>
                <c:pt idx="31">
                  <c:v>5.8048991037754103</c:v>
                </c:pt>
                <c:pt idx="32">
                  <c:v>2.7901727850649847</c:v>
                </c:pt>
                <c:pt idx="33">
                  <c:v>6.3935050066513082</c:v>
                </c:pt>
                <c:pt idx="34">
                  <c:v>3.7620181985902064</c:v>
                </c:pt>
                <c:pt idx="35">
                  <c:v>4.2975926233475956</c:v>
                </c:pt>
                <c:pt idx="36">
                  <c:v>5.4441166953454712</c:v>
                </c:pt>
                <c:pt idx="37">
                  <c:v>5.0688792653694446</c:v>
                </c:pt>
                <c:pt idx="38">
                  <c:v>3.1525077077663068</c:v>
                </c:pt>
                <c:pt idx="39">
                  <c:v>3.7187408495039374</c:v>
                </c:pt>
                <c:pt idx="40">
                  <c:v>7.2767299878072453</c:v>
                </c:pt>
                <c:pt idx="41">
                  <c:v>28.994859226047694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7A-41D2-9C81-5F4673130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7962064"/>
        <c:axId val="2047960816"/>
      </c:scatterChart>
      <c:valAx>
        <c:axId val="204796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0816"/>
        <c:crosses val="autoZero"/>
        <c:crossBetween val="midCat"/>
      </c:valAx>
      <c:valAx>
        <c:axId val="204796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62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117935258092735"/>
          <c:y val="5.6133712452610125E-2"/>
          <c:w val="0.23215398075240595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320675</xdr:colOff>
      <xdr:row>34</xdr:row>
      <xdr:rowOff>98425</xdr:rowOff>
    </xdr:from>
    <xdr:to>
      <xdr:col>5</xdr:col>
      <xdr:colOff>714375</xdr:colOff>
      <xdr:row>49</xdr:row>
      <xdr:rowOff>79375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D933FC-3CB4-42B8-AA7E-0317EB90C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34</xdr:row>
      <xdr:rowOff>95250</xdr:rowOff>
    </xdr:from>
    <xdr:to>
      <xdr:col>12</xdr:col>
      <xdr:colOff>38100</xdr:colOff>
      <xdr:row>49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77C48F4-03E1-4EC7-A373-090D87B903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320675</xdr:colOff>
      <xdr:row>34</xdr:row>
      <xdr:rowOff>98425</xdr:rowOff>
    </xdr:from>
    <xdr:to>
      <xdr:col>5</xdr:col>
      <xdr:colOff>714375</xdr:colOff>
      <xdr:row>49</xdr:row>
      <xdr:rowOff>79375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42A434-228A-4ECC-AE6A-F79F63EA0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34</xdr:row>
      <xdr:rowOff>95250</xdr:rowOff>
    </xdr:from>
    <xdr:to>
      <xdr:col>12</xdr:col>
      <xdr:colOff>38100</xdr:colOff>
      <xdr:row>49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C6983B4-1AD0-4385-B557-6B310CFA3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320675</xdr:colOff>
      <xdr:row>34</xdr:row>
      <xdr:rowOff>98425</xdr:rowOff>
    </xdr:from>
    <xdr:to>
      <xdr:col>5</xdr:col>
      <xdr:colOff>714375</xdr:colOff>
      <xdr:row>49</xdr:row>
      <xdr:rowOff>79375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A8D9C2-2672-4C9E-B915-F65F14263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34</xdr:row>
      <xdr:rowOff>95250</xdr:rowOff>
    </xdr:from>
    <xdr:to>
      <xdr:col>12</xdr:col>
      <xdr:colOff>38100</xdr:colOff>
      <xdr:row>49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CBD414-668C-48A9-974C-2DD5C30E2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AF22-B2B4-45AE-945D-D43FC94136C1}">
  <dimension ref="C3:AW69"/>
  <sheetViews>
    <sheetView tabSelected="1" workbookViewId="0">
      <selection activeCell="D19" sqref="D19"/>
    </sheetView>
  </sheetViews>
  <sheetFormatPr baseColWidth="10" defaultRowHeight="14.5" x14ac:dyDescent="0.35"/>
  <cols>
    <col min="3" max="3" width="16.1796875" customWidth="1"/>
  </cols>
  <sheetData>
    <row r="3" spans="3:49" x14ac:dyDescent="0.35">
      <c r="C3" t="s">
        <v>1</v>
      </c>
    </row>
    <row r="4" spans="3:49" x14ac:dyDescent="0.35">
      <c r="C4" t="s">
        <v>3</v>
      </c>
      <c r="D4">
        <v>-2.7340166594926298</v>
      </c>
      <c r="E4">
        <f>EXP(D4)</f>
        <v>6.4957851394934277E-2</v>
      </c>
      <c r="G4" t="s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0.76047121418834396</v>
      </c>
      <c r="V4">
        <v>1.22245499563905</v>
      </c>
      <c r="W4">
        <v>0.67215919994310103</v>
      </c>
      <c r="X4">
        <v>1.3221441825842399</v>
      </c>
      <c r="Y4">
        <v>0.81254988474516199</v>
      </c>
      <c r="Z4">
        <v>1.0249995447495399</v>
      </c>
      <c r="AA4">
        <v>1.0242980605502101</v>
      </c>
      <c r="AB4">
        <v>0.84853907822319996</v>
      </c>
      <c r="AC4">
        <v>0.47881752276867801</v>
      </c>
      <c r="AD4">
        <v>0.53229958143513001</v>
      </c>
      <c r="AE4">
        <v>0.62842476658963797</v>
      </c>
      <c r="AF4">
        <v>0.63716659129199205</v>
      </c>
      <c r="AG4">
        <v>0.71444916920338997</v>
      </c>
      <c r="AH4">
        <v>0.42223250306736498</v>
      </c>
      <c r="AI4">
        <v>-3.1828165898473999E-3</v>
      </c>
      <c r="AJ4">
        <v>0.34713900944826098</v>
      </c>
      <c r="AK4">
        <v>7.7598400471572196E-2</v>
      </c>
      <c r="AL4">
        <v>-0.21018479033870699</v>
      </c>
      <c r="AM4">
        <v>-0.238039205769081</v>
      </c>
      <c r="AN4">
        <v>-0.732571372843005</v>
      </c>
      <c r="AO4">
        <v>-0.169010399679661</v>
      </c>
      <c r="AP4">
        <v>8.7422534305468105E-2</v>
      </c>
      <c r="AQ4">
        <v>0.21231808298445401</v>
      </c>
      <c r="AR4">
        <v>0.162835092752626</v>
      </c>
      <c r="AS4">
        <v>-0.42269046261374499</v>
      </c>
      <c r="AT4">
        <v>-0.22593832451999801</v>
      </c>
      <c r="AU4">
        <v>-0.15900352943398599</v>
      </c>
      <c r="AV4">
        <v>0.56766608127972995</v>
      </c>
      <c r="AW4">
        <v>0.96352990748301903</v>
      </c>
    </row>
    <row r="5" spans="3:49" x14ac:dyDescent="0.35">
      <c r="C5" t="s">
        <v>4</v>
      </c>
      <c r="D5">
        <v>-0.22841401054892099</v>
      </c>
      <c r="E5">
        <f>EXP(D5)</f>
        <v>0.7957947242139487</v>
      </c>
      <c r="G5" t="s">
        <v>12</v>
      </c>
      <c r="H5">
        <f>EXP(H4)</f>
        <v>2.7182818284590451</v>
      </c>
      <c r="I5">
        <f t="shared" ref="I5:AW5" si="0">EXP(I4)</f>
        <v>2.7182818284590451</v>
      </c>
      <c r="J5">
        <f t="shared" si="0"/>
        <v>2.7182818284590451</v>
      </c>
      <c r="K5">
        <f t="shared" si="0"/>
        <v>2.7182818284590451</v>
      </c>
      <c r="L5">
        <f t="shared" si="0"/>
        <v>2.7182818284590451</v>
      </c>
      <c r="M5">
        <f t="shared" si="0"/>
        <v>2.7182818284590451</v>
      </c>
      <c r="N5">
        <f t="shared" si="0"/>
        <v>2.7182818284590451</v>
      </c>
      <c r="O5">
        <f t="shared" si="0"/>
        <v>2.7182818284590451</v>
      </c>
      <c r="P5">
        <f t="shared" si="0"/>
        <v>2.7182818284590451</v>
      </c>
      <c r="Q5">
        <f t="shared" si="0"/>
        <v>2.7182818284590451</v>
      </c>
      <c r="R5">
        <f t="shared" si="0"/>
        <v>2.7182818284590451</v>
      </c>
      <c r="S5">
        <f t="shared" si="0"/>
        <v>2.7182818284590451</v>
      </c>
      <c r="T5">
        <f t="shared" si="0"/>
        <v>2.7182818284590451</v>
      </c>
      <c r="U5">
        <f t="shared" si="0"/>
        <v>2.1392840440222392</v>
      </c>
      <c r="V5">
        <f t="shared" si="0"/>
        <v>3.3955134803904152</v>
      </c>
      <c r="W5">
        <f t="shared" si="0"/>
        <v>1.9584614684962403</v>
      </c>
      <c r="X5">
        <f t="shared" si="0"/>
        <v>3.7514565675625149</v>
      </c>
      <c r="Y5">
        <f t="shared" si="0"/>
        <v>2.253647207025776</v>
      </c>
      <c r="Z5">
        <f t="shared" si="0"/>
        <v>2.7870941917396488</v>
      </c>
      <c r="AA5">
        <f t="shared" si="0"/>
        <v>2.7851397747785525</v>
      </c>
      <c r="AB5">
        <f t="shared" si="0"/>
        <v>2.3362313064198763</v>
      </c>
      <c r="AC5">
        <f t="shared" si="0"/>
        <v>1.6141645604029307</v>
      </c>
      <c r="AD5">
        <f t="shared" si="0"/>
        <v>1.7028436373007882</v>
      </c>
      <c r="AE5">
        <f t="shared" si="0"/>
        <v>1.8746552326397146</v>
      </c>
      <c r="AF5">
        <f t="shared" si="0"/>
        <v>1.8911149793506647</v>
      </c>
      <c r="AG5">
        <f t="shared" si="0"/>
        <v>2.0430609913410236</v>
      </c>
      <c r="AH5">
        <f t="shared" si="0"/>
        <v>1.5253631350654293</v>
      </c>
      <c r="AI5">
        <f t="shared" si="0"/>
        <v>0.99682224320132229</v>
      </c>
      <c r="AJ5">
        <f t="shared" si="0"/>
        <v>1.4150134119331415</v>
      </c>
      <c r="AK5">
        <f t="shared" si="0"/>
        <v>1.0806885674914293</v>
      </c>
      <c r="AL5">
        <f t="shared" si="0"/>
        <v>0.8104344716716716</v>
      </c>
      <c r="AM5">
        <f t="shared" si="0"/>
        <v>0.78817178960683665</v>
      </c>
      <c r="AN5">
        <f t="shared" si="0"/>
        <v>0.48067141421668064</v>
      </c>
      <c r="AO5">
        <f t="shared" si="0"/>
        <v>0.84450012080963632</v>
      </c>
      <c r="AP5">
        <f t="shared" si="0"/>
        <v>1.091357718384647</v>
      </c>
      <c r="AQ5">
        <f t="shared" si="0"/>
        <v>1.2365411452283812</v>
      </c>
      <c r="AR5">
        <f t="shared" si="0"/>
        <v>1.1768426038114359</v>
      </c>
      <c r="AS5">
        <f t="shared" si="0"/>
        <v>0.65528143582558296</v>
      </c>
      <c r="AT5">
        <f t="shared" si="0"/>
        <v>0.79776730282973785</v>
      </c>
      <c r="AU5">
        <f t="shared" si="0"/>
        <v>0.8529933483801051</v>
      </c>
      <c r="AV5">
        <f t="shared" si="0"/>
        <v>1.7641448721468467</v>
      </c>
      <c r="AW5">
        <f t="shared" si="0"/>
        <v>2.6209318107015656</v>
      </c>
    </row>
    <row r="6" spans="3:49" x14ac:dyDescent="0.35">
      <c r="G6" t="s">
        <v>6</v>
      </c>
      <c r="H6">
        <f>$E$4+H5</f>
        <v>2.7832396798539794</v>
      </c>
      <c r="I6">
        <f t="shared" ref="I6:AV6" si="1">$E$4+I5</f>
        <v>2.7832396798539794</v>
      </c>
      <c r="J6">
        <f t="shared" si="1"/>
        <v>2.7832396798539794</v>
      </c>
      <c r="K6">
        <f t="shared" si="1"/>
        <v>2.7832396798539794</v>
      </c>
      <c r="L6">
        <f t="shared" si="1"/>
        <v>2.7832396798539794</v>
      </c>
      <c r="M6">
        <f t="shared" si="1"/>
        <v>2.7832396798539794</v>
      </c>
      <c r="N6">
        <f t="shared" si="1"/>
        <v>2.7832396798539794</v>
      </c>
      <c r="O6">
        <f t="shared" si="1"/>
        <v>2.7832396798539794</v>
      </c>
      <c r="P6">
        <f t="shared" si="1"/>
        <v>2.7832396798539794</v>
      </c>
      <c r="Q6">
        <f t="shared" si="1"/>
        <v>2.7832396798539794</v>
      </c>
      <c r="R6">
        <f t="shared" si="1"/>
        <v>2.7832396798539794</v>
      </c>
      <c r="S6">
        <f t="shared" si="1"/>
        <v>2.7832396798539794</v>
      </c>
      <c r="T6">
        <f t="shared" si="1"/>
        <v>2.7832396798539794</v>
      </c>
      <c r="U6">
        <f t="shared" si="1"/>
        <v>2.2042418954171734</v>
      </c>
      <c r="V6">
        <f t="shared" si="1"/>
        <v>3.4604713317853495</v>
      </c>
      <c r="W6">
        <f t="shared" si="1"/>
        <v>2.0234193198911745</v>
      </c>
      <c r="X6">
        <f t="shared" si="1"/>
        <v>3.8164144189574492</v>
      </c>
      <c r="Y6">
        <f t="shared" si="1"/>
        <v>2.3186050584207103</v>
      </c>
      <c r="Z6">
        <f t="shared" si="1"/>
        <v>2.852052043134583</v>
      </c>
      <c r="AA6">
        <f t="shared" si="1"/>
        <v>2.8500976261734867</v>
      </c>
      <c r="AB6">
        <f t="shared" si="1"/>
        <v>2.4011891578148106</v>
      </c>
      <c r="AC6">
        <f t="shared" si="1"/>
        <v>1.6791224117978649</v>
      </c>
      <c r="AD6">
        <f t="shared" si="1"/>
        <v>1.7678014886957225</v>
      </c>
      <c r="AE6">
        <f t="shared" si="1"/>
        <v>1.9396130840346488</v>
      </c>
      <c r="AF6">
        <f t="shared" si="1"/>
        <v>1.956072830745599</v>
      </c>
      <c r="AG6">
        <f t="shared" si="1"/>
        <v>2.1080188427359579</v>
      </c>
      <c r="AH6">
        <f t="shared" si="1"/>
        <v>1.5903209864603636</v>
      </c>
      <c r="AI6">
        <f t="shared" si="1"/>
        <v>1.0617800945962566</v>
      </c>
      <c r="AJ6">
        <f t="shared" si="1"/>
        <v>1.4799712633280757</v>
      </c>
      <c r="AK6">
        <f t="shared" si="1"/>
        <v>1.1456464188863635</v>
      </c>
      <c r="AL6">
        <f t="shared" si="1"/>
        <v>0.87539232306660586</v>
      </c>
      <c r="AM6">
        <f t="shared" si="1"/>
        <v>0.85312964100177091</v>
      </c>
      <c r="AN6">
        <f t="shared" si="1"/>
        <v>0.54562926561161496</v>
      </c>
      <c r="AO6">
        <f t="shared" si="1"/>
        <v>0.90945797220457059</v>
      </c>
      <c r="AP6">
        <f t="shared" si="1"/>
        <v>1.1563155697795813</v>
      </c>
      <c r="AQ6">
        <f t="shared" si="1"/>
        <v>1.3014989966233155</v>
      </c>
      <c r="AR6">
        <f t="shared" si="1"/>
        <v>1.2418004552063702</v>
      </c>
      <c r="AS6">
        <f t="shared" si="1"/>
        <v>0.72023928722051722</v>
      </c>
      <c r="AT6">
        <f t="shared" si="1"/>
        <v>0.86272515422467211</v>
      </c>
      <c r="AU6">
        <f t="shared" si="1"/>
        <v>0.91795119977503936</v>
      </c>
      <c r="AV6">
        <f t="shared" si="1"/>
        <v>1.8291027235417809</v>
      </c>
      <c r="AW6">
        <f>$E$4+AW5</f>
        <v>2.6858896620964998</v>
      </c>
    </row>
    <row r="7" spans="3:49" x14ac:dyDescent="0.35">
      <c r="C7" t="s">
        <v>0</v>
      </c>
      <c r="H7">
        <v>1</v>
      </c>
      <c r="I7">
        <v>2</v>
      </c>
      <c r="J7">
        <v>3</v>
      </c>
      <c r="K7">
        <v>4</v>
      </c>
      <c r="L7">
        <v>5</v>
      </c>
      <c r="M7">
        <v>6</v>
      </c>
      <c r="N7">
        <v>7</v>
      </c>
      <c r="O7">
        <v>8</v>
      </c>
      <c r="P7">
        <v>9</v>
      </c>
      <c r="Q7">
        <v>10</v>
      </c>
      <c r="R7">
        <v>11</v>
      </c>
      <c r="S7">
        <v>12</v>
      </c>
      <c r="T7">
        <v>13</v>
      </c>
      <c r="U7">
        <v>14</v>
      </c>
      <c r="V7">
        <v>15</v>
      </c>
      <c r="W7">
        <v>16</v>
      </c>
      <c r="X7">
        <v>17</v>
      </c>
      <c r="Y7">
        <v>18</v>
      </c>
      <c r="Z7">
        <v>19</v>
      </c>
      <c r="AA7">
        <v>20</v>
      </c>
      <c r="AB7">
        <v>21</v>
      </c>
      <c r="AC7">
        <v>22</v>
      </c>
      <c r="AD7">
        <v>23</v>
      </c>
      <c r="AE7">
        <v>24</v>
      </c>
      <c r="AF7">
        <v>25</v>
      </c>
      <c r="AG7">
        <v>26</v>
      </c>
      <c r="AH7">
        <v>27</v>
      </c>
      <c r="AI7">
        <v>28</v>
      </c>
      <c r="AJ7">
        <v>29</v>
      </c>
      <c r="AK7">
        <v>30</v>
      </c>
      <c r="AL7">
        <v>31</v>
      </c>
      <c r="AM7">
        <v>32</v>
      </c>
      <c r="AN7">
        <v>33</v>
      </c>
      <c r="AO7">
        <v>34</v>
      </c>
      <c r="AP7">
        <v>35</v>
      </c>
      <c r="AQ7">
        <v>36</v>
      </c>
      <c r="AR7">
        <v>37</v>
      </c>
      <c r="AS7">
        <v>38</v>
      </c>
      <c r="AT7">
        <v>39</v>
      </c>
      <c r="AU7">
        <v>40</v>
      </c>
      <c r="AV7">
        <v>41</v>
      </c>
      <c r="AW7">
        <v>42</v>
      </c>
    </row>
    <row r="8" spans="3:49" x14ac:dyDescent="0.35">
      <c r="C8" t="s">
        <v>3</v>
      </c>
      <c r="D8">
        <f>LN(E8)</f>
        <v>-0.69314718055994529</v>
      </c>
      <c r="E8">
        <v>0.5</v>
      </c>
    </row>
    <row r="9" spans="3:49" x14ac:dyDescent="0.35">
      <c r="C9" t="s">
        <v>4</v>
      </c>
      <c r="D9">
        <f>LN(E9)</f>
        <v>-1.6094379124341003</v>
      </c>
      <c r="E9">
        <v>0.2</v>
      </c>
      <c r="G9" t="s">
        <v>8</v>
      </c>
      <c r="H9">
        <v>-7.0632605034158402</v>
      </c>
      <c r="I9">
        <v>-5.1291068025690096</v>
      </c>
      <c r="J9">
        <v>-3.7227865694301201</v>
      </c>
      <c r="K9">
        <v>-3.4236283577237399</v>
      </c>
      <c r="L9">
        <v>-1.9566164998314299</v>
      </c>
      <c r="M9">
        <v>0.730427783531025</v>
      </c>
      <c r="N9">
        <v>0.495715039994232</v>
      </c>
      <c r="O9">
        <v>0.30203073494275301</v>
      </c>
      <c r="P9">
        <v>0.28842412833534897</v>
      </c>
      <c r="Q9">
        <v>-4.3675050133887998E-2</v>
      </c>
      <c r="R9">
        <v>-1.53259872733245</v>
      </c>
      <c r="S9">
        <v>-2.2337891097224198</v>
      </c>
      <c r="T9">
        <v>-1.1797985794174199</v>
      </c>
      <c r="U9">
        <v>-2.0962634829176299</v>
      </c>
      <c r="V9">
        <v>-1.9077068390659799</v>
      </c>
      <c r="W9">
        <v>-0.40731312255428997</v>
      </c>
      <c r="X9">
        <v>-7.1385952527774896E-2</v>
      </c>
      <c r="Y9">
        <v>-4.0697177258877497</v>
      </c>
      <c r="Z9">
        <v>1.1869533703159301</v>
      </c>
      <c r="AA9">
        <v>1.3621186030315799</v>
      </c>
      <c r="AB9">
        <v>1.8655392848636401</v>
      </c>
      <c r="AC9">
        <v>1.7378832702443201</v>
      </c>
      <c r="AD9">
        <v>0.70276544082345704</v>
      </c>
      <c r="AE9">
        <v>1.64172315871903</v>
      </c>
      <c r="AF9">
        <v>0.77576315339642798</v>
      </c>
      <c r="AG9">
        <v>1.9352264574973801</v>
      </c>
      <c r="AH9">
        <v>1.7093823587708401</v>
      </c>
      <c r="AI9">
        <v>1.5624174376250699</v>
      </c>
      <c r="AJ9">
        <v>1.1340632509886801</v>
      </c>
      <c r="AK9">
        <v>0.95454439971878602</v>
      </c>
      <c r="AL9">
        <v>0.74047683099120798</v>
      </c>
      <c r="AM9">
        <v>1.64528065052054</v>
      </c>
      <c r="AN9">
        <v>0.729875007799899</v>
      </c>
      <c r="AO9">
        <v>1.79480323840959</v>
      </c>
      <c r="AP9">
        <v>1.0822983905992301</v>
      </c>
      <c r="AQ9">
        <v>1.26683125865962</v>
      </c>
      <c r="AR9">
        <v>1.5665947145374199</v>
      </c>
      <c r="AS9">
        <v>1.5049397814499299</v>
      </c>
      <c r="AT9">
        <v>0.94493908111894298</v>
      </c>
      <c r="AU9">
        <v>1.20819923729594</v>
      </c>
      <c r="AV9">
        <v>1.851413693954</v>
      </c>
      <c r="AW9">
        <v>2.1170175485973801</v>
      </c>
    </row>
    <row r="10" spans="3:49" x14ac:dyDescent="0.35">
      <c r="H10">
        <f>EXP(H9)</f>
        <v>8.5598260489287692E-4</v>
      </c>
      <c r="I10">
        <f t="shared" ref="I10:AW10" si="2">EXP(I9)</f>
        <v>5.921847491120946E-3</v>
      </c>
      <c r="J10">
        <f t="shared" si="2"/>
        <v>2.416653221239522E-2</v>
      </c>
      <c r="K10">
        <f t="shared" si="2"/>
        <v>3.2593957592124127E-2</v>
      </c>
      <c r="L10">
        <f t="shared" si="2"/>
        <v>0.14133582260086391</v>
      </c>
      <c r="M10">
        <f t="shared" si="2"/>
        <v>2.0759684828792904</v>
      </c>
      <c r="N10">
        <f t="shared" si="2"/>
        <v>1.6416716803871814</v>
      </c>
      <c r="O10">
        <f t="shared" si="2"/>
        <v>1.3526027982402011</v>
      </c>
      <c r="P10">
        <f t="shared" si="2"/>
        <v>1.3343231083668663</v>
      </c>
      <c r="Q10">
        <f t="shared" si="2"/>
        <v>0.95726497006241584</v>
      </c>
      <c r="R10">
        <f t="shared" si="2"/>
        <v>0.21597368070016809</v>
      </c>
      <c r="S10">
        <f t="shared" si="2"/>
        <v>0.1071217640534879</v>
      </c>
      <c r="T10">
        <f t="shared" si="2"/>
        <v>0.30734063709728104</v>
      </c>
      <c r="U10">
        <f t="shared" si="2"/>
        <v>0.12291484469607986</v>
      </c>
      <c r="V10">
        <f t="shared" si="2"/>
        <v>0.14842034839768317</v>
      </c>
      <c r="W10">
        <f t="shared" si="2"/>
        <v>0.66543579472078673</v>
      </c>
      <c r="X10">
        <f t="shared" si="2"/>
        <v>0.93110246142185593</v>
      </c>
      <c r="Y10">
        <f t="shared" si="2"/>
        <v>1.7082209692581164E-2</v>
      </c>
      <c r="Z10">
        <f t="shared" si="2"/>
        <v>3.2770819279878705</v>
      </c>
      <c r="AA10">
        <f t="shared" si="2"/>
        <v>3.9044565389048347</v>
      </c>
      <c r="AB10">
        <f t="shared" si="2"/>
        <v>6.4594184134479411</v>
      </c>
      <c r="AC10">
        <f t="shared" si="2"/>
        <v>5.6852964409213493</v>
      </c>
      <c r="AD10">
        <f t="shared" si="2"/>
        <v>2.0193293287701524</v>
      </c>
      <c r="AE10">
        <f t="shared" si="2"/>
        <v>5.1640603454862397</v>
      </c>
      <c r="AF10">
        <f t="shared" si="2"/>
        <v>2.1722492541781833</v>
      </c>
      <c r="AG10">
        <f t="shared" si="2"/>
        <v>6.9256122346230793</v>
      </c>
      <c r="AH10">
        <f t="shared" si="2"/>
        <v>5.5255476174399139</v>
      </c>
      <c r="AI10">
        <f t="shared" si="2"/>
        <v>4.7703393151654545</v>
      </c>
      <c r="AJ10">
        <f t="shared" si="2"/>
        <v>3.1082605187640229</v>
      </c>
      <c r="AK10">
        <f t="shared" si="2"/>
        <v>2.5974868975353331</v>
      </c>
      <c r="AL10">
        <f t="shared" si="2"/>
        <v>2.096935159815243</v>
      </c>
      <c r="AM10">
        <f t="shared" si="2"/>
        <v>5.1824641641352862</v>
      </c>
      <c r="AN10">
        <f t="shared" si="2"/>
        <v>2.0748212549924512</v>
      </c>
      <c r="AO10">
        <f t="shared" si="2"/>
        <v>6.0182904369022658</v>
      </c>
      <c r="AP10">
        <f t="shared" si="2"/>
        <v>2.9514553586067924</v>
      </c>
      <c r="AQ10">
        <f t="shared" si="2"/>
        <v>3.5495869998873286</v>
      </c>
      <c r="AR10">
        <f t="shared" si="2"/>
        <v>4.7903080218221907</v>
      </c>
      <c r="AS10">
        <f t="shared" si="2"/>
        <v>4.5038824048540587</v>
      </c>
      <c r="AT10">
        <f t="shared" si="2"/>
        <v>2.5726566504500337</v>
      </c>
      <c r="AU10">
        <f t="shared" si="2"/>
        <v>3.3474512564458143</v>
      </c>
      <c r="AV10">
        <f t="shared" si="2"/>
        <v>6.3688167191522176</v>
      </c>
      <c r="AW10">
        <f t="shared" si="2"/>
        <v>8.3063272909956698</v>
      </c>
    </row>
    <row r="11" spans="3:49" x14ac:dyDescent="0.35">
      <c r="C11" t="s">
        <v>2</v>
      </c>
      <c r="H11">
        <f>$E$5+H10</f>
        <v>0.79665070681884154</v>
      </c>
      <c r="I11">
        <f t="shared" ref="I11:AW11" si="3">$E$5+I10</f>
        <v>0.8017165717050696</v>
      </c>
      <c r="J11">
        <f t="shared" si="3"/>
        <v>0.81996125642634388</v>
      </c>
      <c r="K11">
        <f t="shared" si="3"/>
        <v>0.82838868180607284</v>
      </c>
      <c r="L11">
        <f t="shared" si="3"/>
        <v>0.93713054681481256</v>
      </c>
      <c r="M11">
        <f t="shared" si="3"/>
        <v>2.8717632070932391</v>
      </c>
      <c r="N11">
        <f t="shared" si="3"/>
        <v>2.4374664046011301</v>
      </c>
      <c r="O11">
        <f t="shared" si="3"/>
        <v>2.1483975224541498</v>
      </c>
      <c r="P11">
        <f t="shared" si="3"/>
        <v>2.1301178325808152</v>
      </c>
      <c r="Q11">
        <f t="shared" si="3"/>
        <v>1.7530596942763645</v>
      </c>
      <c r="R11">
        <f t="shared" si="3"/>
        <v>1.0117684049141169</v>
      </c>
      <c r="S11">
        <f t="shared" si="3"/>
        <v>0.90291648826743665</v>
      </c>
      <c r="T11">
        <f t="shared" si="3"/>
        <v>1.1031353613112298</v>
      </c>
      <c r="U11">
        <f t="shared" si="3"/>
        <v>0.91870956891002853</v>
      </c>
      <c r="V11">
        <f t="shared" si="3"/>
        <v>0.94421507261163184</v>
      </c>
      <c r="W11">
        <f t="shared" si="3"/>
        <v>1.4612305189347354</v>
      </c>
      <c r="X11">
        <f t="shared" si="3"/>
        <v>1.7268971856358046</v>
      </c>
      <c r="Y11">
        <f t="shared" si="3"/>
        <v>0.81287693390652982</v>
      </c>
      <c r="Z11">
        <f t="shared" si="3"/>
        <v>4.0728766522018187</v>
      </c>
      <c r="AA11">
        <f t="shared" si="3"/>
        <v>4.7002512631187834</v>
      </c>
      <c r="AB11">
        <f t="shared" si="3"/>
        <v>7.2552131376618902</v>
      </c>
      <c r="AC11">
        <f t="shared" si="3"/>
        <v>6.4810911651352985</v>
      </c>
      <c r="AD11">
        <f t="shared" si="3"/>
        <v>2.8151240529841011</v>
      </c>
      <c r="AE11">
        <f t="shared" si="3"/>
        <v>5.959855069700188</v>
      </c>
      <c r="AF11">
        <f t="shared" si="3"/>
        <v>2.968043978392132</v>
      </c>
      <c r="AG11">
        <f t="shared" si="3"/>
        <v>7.7214069588370275</v>
      </c>
      <c r="AH11">
        <f t="shared" si="3"/>
        <v>6.3213423416538621</v>
      </c>
      <c r="AI11">
        <f t="shared" si="3"/>
        <v>5.5661340393794028</v>
      </c>
      <c r="AJ11">
        <f t="shared" si="3"/>
        <v>3.9040552429779716</v>
      </c>
      <c r="AK11">
        <f t="shared" si="3"/>
        <v>3.3932816217492818</v>
      </c>
      <c r="AL11">
        <f t="shared" si="3"/>
        <v>2.8927298840291917</v>
      </c>
      <c r="AM11">
        <f t="shared" si="3"/>
        <v>5.9782588883492345</v>
      </c>
      <c r="AN11">
        <f t="shared" si="3"/>
        <v>2.8706159792063999</v>
      </c>
      <c r="AO11">
        <f t="shared" si="3"/>
        <v>6.8140851611162141</v>
      </c>
      <c r="AP11">
        <f t="shared" si="3"/>
        <v>3.7472500828207411</v>
      </c>
      <c r="AQ11">
        <f t="shared" si="3"/>
        <v>4.3453817241012773</v>
      </c>
      <c r="AR11">
        <f t="shared" si="3"/>
        <v>5.5861027460361399</v>
      </c>
      <c r="AS11">
        <f t="shared" si="3"/>
        <v>5.2996771290680069</v>
      </c>
      <c r="AT11">
        <f t="shared" si="3"/>
        <v>3.3684513746639824</v>
      </c>
      <c r="AU11">
        <f t="shared" si="3"/>
        <v>4.1432459806597635</v>
      </c>
      <c r="AV11">
        <f t="shared" si="3"/>
        <v>7.1646114433661658</v>
      </c>
      <c r="AW11">
        <f t="shared" si="3"/>
        <v>9.1021220152096181</v>
      </c>
    </row>
    <row r="13" spans="3:49" x14ac:dyDescent="0.35">
      <c r="G13" t="s">
        <v>5</v>
      </c>
      <c r="H13">
        <v>-4.3903588292401903</v>
      </c>
      <c r="I13">
        <v>-2.4378265716085501</v>
      </c>
      <c r="J13">
        <v>-0.37747253077676901</v>
      </c>
      <c r="K13">
        <v>-1.1284747946321301</v>
      </c>
      <c r="L13">
        <v>-0.85603411506616001</v>
      </c>
      <c r="M13">
        <v>-0.95374326868962001</v>
      </c>
      <c r="N13">
        <v>-1.0263869300934001</v>
      </c>
      <c r="O13">
        <v>-0.37270526804818999</v>
      </c>
      <c r="P13">
        <v>-0.12518992905231299</v>
      </c>
      <c r="Q13">
        <v>0.41507521961136001</v>
      </c>
      <c r="R13">
        <v>-0.13885625553965</v>
      </c>
      <c r="S13">
        <v>-2.1230321454056502E-3</v>
      </c>
      <c r="T13">
        <v>0.61580132099280904</v>
      </c>
      <c r="U13">
        <v>0.93818756541567205</v>
      </c>
      <c r="V13">
        <v>1.4944824981154701</v>
      </c>
      <c r="W13">
        <v>0.72813821085124697</v>
      </c>
      <c r="X13">
        <v>1.3683778134248199</v>
      </c>
      <c r="Y13">
        <v>0.84672482421334205</v>
      </c>
      <c r="Z13">
        <v>1.0185959618771001</v>
      </c>
      <c r="AA13">
        <v>1.03721502564182</v>
      </c>
      <c r="AB13">
        <v>0.86301813335198196</v>
      </c>
      <c r="AC13">
        <v>0.47098506914238197</v>
      </c>
      <c r="AD13">
        <v>0.50812796759329903</v>
      </c>
      <c r="AE13">
        <v>0.60026623837155002</v>
      </c>
      <c r="AF13">
        <v>0.55128810030929498</v>
      </c>
      <c r="AG13">
        <v>0.67465463083075805</v>
      </c>
      <c r="AH13">
        <v>0.40427327947678299</v>
      </c>
      <c r="AI13">
        <v>1.87701876280379E-3</v>
      </c>
      <c r="AJ13">
        <v>0.31331654058987002</v>
      </c>
      <c r="AK13">
        <v>8.0632253325188405E-2</v>
      </c>
      <c r="AL13">
        <v>-0.13748095023089901</v>
      </c>
      <c r="AM13">
        <v>-0.19827901361535299</v>
      </c>
      <c r="AN13">
        <v>-0.68196853519800804</v>
      </c>
      <c r="AO13">
        <v>-0.14015942938279399</v>
      </c>
      <c r="AP13">
        <v>0.137206385103709</v>
      </c>
      <c r="AQ13">
        <v>0.25883254432132002</v>
      </c>
      <c r="AR13">
        <v>0.15250484144284299</v>
      </c>
      <c r="AS13">
        <v>-0.54966325260930304</v>
      </c>
      <c r="AT13">
        <v>-0.48680581197192702</v>
      </c>
      <c r="AU13">
        <v>-0.48987498940481899</v>
      </c>
      <c r="AV13">
        <v>0.18775112188382601</v>
      </c>
      <c r="AW13">
        <v>0.82607093584770996</v>
      </c>
    </row>
    <row r="14" spans="3:49" x14ac:dyDescent="0.35">
      <c r="G14" t="s">
        <v>13</v>
      </c>
      <c r="H14">
        <f>EXP(H13)</f>
        <v>1.2396280274453117E-2</v>
      </c>
      <c r="I14">
        <f t="shared" ref="I14:AW14" si="4">EXP(I13)</f>
        <v>8.735049534521859E-2</v>
      </c>
      <c r="J14">
        <f t="shared" si="4"/>
        <v>0.68559203400626356</v>
      </c>
      <c r="K14">
        <f t="shared" si="4"/>
        <v>0.32352632439832724</v>
      </c>
      <c r="L14">
        <f t="shared" si="4"/>
        <v>0.42484362664626657</v>
      </c>
      <c r="M14">
        <f t="shared" si="4"/>
        <v>0.38529605403206013</v>
      </c>
      <c r="N14">
        <f t="shared" si="4"/>
        <v>0.3582991847171636</v>
      </c>
      <c r="O14">
        <f t="shared" si="4"/>
        <v>0.68886823440622946</v>
      </c>
      <c r="P14">
        <f t="shared" si="4"/>
        <v>0.8823293067003859</v>
      </c>
      <c r="Q14">
        <f t="shared" si="4"/>
        <v>1.5144846553548728</v>
      </c>
      <c r="R14">
        <f t="shared" si="4"/>
        <v>0.87035312790754482</v>
      </c>
      <c r="S14">
        <f t="shared" si="4"/>
        <v>0.99787921989334072</v>
      </c>
      <c r="T14">
        <f t="shared" si="4"/>
        <v>1.8511393622261254</v>
      </c>
      <c r="U14">
        <f t="shared" si="4"/>
        <v>2.5553458215983351</v>
      </c>
      <c r="V14">
        <f t="shared" si="4"/>
        <v>4.4570294347984314</v>
      </c>
      <c r="W14">
        <f t="shared" si="4"/>
        <v>2.0712208392683475</v>
      </c>
      <c r="X14">
        <f t="shared" si="4"/>
        <v>3.9289719975215345</v>
      </c>
      <c r="Y14">
        <f t="shared" si="4"/>
        <v>2.3319966319533565</v>
      </c>
      <c r="Z14">
        <f t="shared" si="4"/>
        <v>2.7693038249460149</v>
      </c>
      <c r="AA14">
        <f t="shared" si="4"/>
        <v>2.8213486791543674</v>
      </c>
      <c r="AB14">
        <f t="shared" si="4"/>
        <v>2.3703038018156826</v>
      </c>
      <c r="AC14">
        <f t="shared" si="4"/>
        <v>1.6015710746662051</v>
      </c>
      <c r="AD14">
        <f t="shared" si="4"/>
        <v>1.6621766320532712</v>
      </c>
      <c r="AE14">
        <f t="shared" si="4"/>
        <v>1.8226039829169325</v>
      </c>
      <c r="AF14">
        <f t="shared" si="4"/>
        <v>1.7354870601421752</v>
      </c>
      <c r="AG14">
        <f t="shared" si="4"/>
        <v>1.9633547766538813</v>
      </c>
      <c r="AH14">
        <f t="shared" si="4"/>
        <v>1.498213321971434</v>
      </c>
      <c r="AI14">
        <f t="shared" si="4"/>
        <v>1.0018787814652244</v>
      </c>
      <c r="AJ14">
        <f t="shared" si="4"/>
        <v>1.3679544756183497</v>
      </c>
      <c r="AK14">
        <f t="shared" si="4"/>
        <v>1.083972196090166</v>
      </c>
      <c r="AL14">
        <f t="shared" si="4"/>
        <v>0.87155095268342708</v>
      </c>
      <c r="AM14">
        <f t="shared" si="4"/>
        <v>0.82014099070853208</v>
      </c>
      <c r="AN14">
        <f t="shared" si="4"/>
        <v>0.50562067994398074</v>
      </c>
      <c r="AO14">
        <f t="shared" si="4"/>
        <v>0.86921964519987782</v>
      </c>
      <c r="AP14">
        <f t="shared" si="4"/>
        <v>1.1470648611929115</v>
      </c>
      <c r="AQ14">
        <f t="shared" si="4"/>
        <v>1.295416861754622</v>
      </c>
      <c r="AR14">
        <f t="shared" si="4"/>
        <v>1.164748101142322</v>
      </c>
      <c r="AS14">
        <f t="shared" si="4"/>
        <v>0.57714412944007731</v>
      </c>
      <c r="AT14">
        <f t="shared" si="4"/>
        <v>0.61458636667228983</v>
      </c>
      <c r="AU14">
        <f t="shared" si="4"/>
        <v>0.61270298376173127</v>
      </c>
      <c r="AV14">
        <f t="shared" si="4"/>
        <v>1.2065331982704941</v>
      </c>
      <c r="AW14">
        <f t="shared" si="4"/>
        <v>2.2843258222569642</v>
      </c>
    </row>
    <row r="15" spans="3:49" x14ac:dyDescent="0.35">
      <c r="C15">
        <v>0.66320503377215301</v>
      </c>
      <c r="D15">
        <v>1.37389193932297</v>
      </c>
      <c r="G15" t="s">
        <v>7</v>
      </c>
      <c r="H15">
        <f>$E$4+H14</f>
        <v>7.7354131669387399E-2</v>
      </c>
      <c r="I15">
        <f t="shared" ref="I15:AW15" si="5">$E$4+I14</f>
        <v>0.15230834674015287</v>
      </c>
      <c r="J15">
        <f t="shared" si="5"/>
        <v>0.75054988540119782</v>
      </c>
      <c r="K15">
        <f t="shared" si="5"/>
        <v>0.3884841757932615</v>
      </c>
      <c r="L15">
        <f t="shared" si="5"/>
        <v>0.48980147804120083</v>
      </c>
      <c r="M15">
        <f t="shared" si="5"/>
        <v>0.45025390542699439</v>
      </c>
      <c r="N15">
        <f t="shared" si="5"/>
        <v>0.42325703611209786</v>
      </c>
      <c r="O15">
        <f t="shared" si="5"/>
        <v>0.75382608580116373</v>
      </c>
      <c r="P15">
        <f t="shared" si="5"/>
        <v>0.94728715809532016</v>
      </c>
      <c r="Q15">
        <f t="shared" si="5"/>
        <v>1.579442506749807</v>
      </c>
      <c r="R15">
        <f t="shared" si="5"/>
        <v>0.93531097930247908</v>
      </c>
      <c r="S15">
        <f t="shared" si="5"/>
        <v>1.0628370712882751</v>
      </c>
      <c r="T15">
        <f t="shared" si="5"/>
        <v>1.9160972136210597</v>
      </c>
      <c r="U15">
        <f t="shared" si="5"/>
        <v>2.6203036729932694</v>
      </c>
      <c r="V15">
        <f t="shared" si="5"/>
        <v>4.5219872861933661</v>
      </c>
      <c r="W15">
        <f t="shared" si="5"/>
        <v>2.1361786906632818</v>
      </c>
      <c r="X15">
        <f t="shared" si="5"/>
        <v>3.9939298489164687</v>
      </c>
      <c r="Y15">
        <f t="shared" si="5"/>
        <v>2.3969544833482908</v>
      </c>
      <c r="Z15">
        <f t="shared" si="5"/>
        <v>2.8342616763409492</v>
      </c>
      <c r="AA15">
        <f t="shared" si="5"/>
        <v>2.8863065305493016</v>
      </c>
      <c r="AB15">
        <f t="shared" si="5"/>
        <v>2.4352616532106168</v>
      </c>
      <c r="AC15">
        <f t="shared" si="5"/>
        <v>1.6665289260611393</v>
      </c>
      <c r="AD15">
        <f t="shared" si="5"/>
        <v>1.7271344834482054</v>
      </c>
      <c r="AE15">
        <f t="shared" si="5"/>
        <v>1.8875618343118667</v>
      </c>
      <c r="AF15">
        <f t="shared" si="5"/>
        <v>1.8004449115371095</v>
      </c>
      <c r="AG15">
        <f t="shared" si="5"/>
        <v>2.0283126280488157</v>
      </c>
      <c r="AH15">
        <f t="shared" si="5"/>
        <v>1.5631711733663682</v>
      </c>
      <c r="AI15">
        <f t="shared" si="5"/>
        <v>1.0668366328601586</v>
      </c>
      <c r="AJ15">
        <f t="shared" si="5"/>
        <v>1.432912327013284</v>
      </c>
      <c r="AK15">
        <f t="shared" si="5"/>
        <v>1.1489300474851003</v>
      </c>
      <c r="AL15">
        <f t="shared" si="5"/>
        <v>0.93650880407836135</v>
      </c>
      <c r="AM15">
        <f t="shared" si="5"/>
        <v>0.88509884210346634</v>
      </c>
      <c r="AN15">
        <f t="shared" si="5"/>
        <v>0.57057853133891501</v>
      </c>
      <c r="AO15">
        <f t="shared" si="5"/>
        <v>0.93417749659481208</v>
      </c>
      <c r="AP15">
        <f t="shared" si="5"/>
        <v>1.2120227125878458</v>
      </c>
      <c r="AQ15">
        <f t="shared" si="5"/>
        <v>1.3603747131495563</v>
      </c>
      <c r="AR15">
        <f t="shared" si="5"/>
        <v>1.2297059525372562</v>
      </c>
      <c r="AS15">
        <f t="shared" si="5"/>
        <v>0.64210198083501158</v>
      </c>
      <c r="AT15">
        <f t="shared" si="5"/>
        <v>0.67954421806722409</v>
      </c>
      <c r="AU15">
        <f t="shared" si="5"/>
        <v>0.67766083515666553</v>
      </c>
      <c r="AV15">
        <f t="shared" si="5"/>
        <v>1.2714910496654284</v>
      </c>
      <c r="AW15">
        <f t="shared" si="5"/>
        <v>2.3492836736518985</v>
      </c>
    </row>
    <row r="16" spans="3:49" x14ac:dyDescent="0.35">
      <c r="C16">
        <f>EXP(C15)</f>
        <v>1.9410033571279313</v>
      </c>
      <c r="D16">
        <f>EXP(D15)</f>
        <v>3.9506966850512861</v>
      </c>
    </row>
    <row r="17" spans="7:49" x14ac:dyDescent="0.35">
      <c r="H17">
        <v>-3.9446086737975601</v>
      </c>
      <c r="I17">
        <v>-4.1369741037739303</v>
      </c>
      <c r="J17">
        <v>-1.6457918249916701</v>
      </c>
      <c r="K17">
        <v>-2.2451218581724501</v>
      </c>
      <c r="L17">
        <v>0.138607037765591</v>
      </c>
      <c r="M17">
        <v>0.84944573152674996</v>
      </c>
      <c r="N17">
        <v>0.32106211257228001</v>
      </c>
      <c r="O17">
        <v>0.53970527830151505</v>
      </c>
      <c r="P17">
        <v>0.75530524963970302</v>
      </c>
      <c r="Q17">
        <v>0.56847782019625204</v>
      </c>
      <c r="R17">
        <v>-9.5941377285314197E-2</v>
      </c>
      <c r="S17">
        <v>-0.62829581653237898</v>
      </c>
      <c r="T17">
        <v>2.0394340109164098E-2</v>
      </c>
      <c r="U17">
        <v>-0.56815283707862996</v>
      </c>
      <c r="V17">
        <v>0.122501997567773</v>
      </c>
      <c r="W17">
        <v>-0.48890297483767597</v>
      </c>
      <c r="X17">
        <v>1.7801489576896199</v>
      </c>
      <c r="Y17">
        <v>-0.83683353127471904</v>
      </c>
      <c r="Z17">
        <v>0.89129567148532096</v>
      </c>
      <c r="AA17">
        <v>0.95289092343777204</v>
      </c>
      <c r="AB17">
        <v>1.3492926736023401</v>
      </c>
      <c r="AC17">
        <v>1.24429486253268</v>
      </c>
      <c r="AD17">
        <v>8.3579778772813904E-2</v>
      </c>
      <c r="AE17">
        <v>0.74560242229080198</v>
      </c>
      <c r="AF17">
        <v>-0.240330181916382</v>
      </c>
      <c r="AG17">
        <v>1.1876651457798399</v>
      </c>
      <c r="AH17">
        <v>1.3258535217323999</v>
      </c>
      <c r="AI17">
        <v>1.0755128138947401</v>
      </c>
      <c r="AJ17">
        <v>0.76418261886886096</v>
      </c>
      <c r="AK17">
        <v>0.60381772461869998</v>
      </c>
      <c r="AL17">
        <v>0.35322355990029097</v>
      </c>
      <c r="AM17">
        <v>1.0576024634272601</v>
      </c>
      <c r="AN17">
        <v>-7.9207132065673994E-2</v>
      </c>
      <c r="AO17">
        <v>1.1939312885143101</v>
      </c>
      <c r="AP17">
        <v>0.51652618232331404</v>
      </c>
      <c r="AQ17">
        <v>0.83835287450832296</v>
      </c>
      <c r="AR17">
        <v>1.0939151072364399</v>
      </c>
      <c r="AS17">
        <v>0.769883058619109</v>
      </c>
      <c r="AT17">
        <v>-0.57558605763746795</v>
      </c>
      <c r="AU17">
        <v>-1.9516696274797001</v>
      </c>
      <c r="AV17">
        <v>-1.3294061965414199</v>
      </c>
      <c r="AW17">
        <v>-2.3762490007552102</v>
      </c>
    </row>
    <row r="18" spans="7:49" x14ac:dyDescent="0.35">
      <c r="G18" t="s">
        <v>9</v>
      </c>
      <c r="H18">
        <f>EXP(H17)</f>
        <v>1.935879048957127E-2</v>
      </c>
      <c r="I18">
        <f t="shared" ref="I18:AW18" si="6">EXP(I17)</f>
        <v>1.5971105369563653E-2</v>
      </c>
      <c r="J18">
        <f t="shared" si="6"/>
        <v>0.1928597911150341</v>
      </c>
      <c r="K18">
        <f t="shared" si="6"/>
        <v>0.10591463302351234</v>
      </c>
      <c r="L18">
        <f t="shared" si="6"/>
        <v>1.1486726263415137</v>
      </c>
      <c r="M18">
        <f t="shared" si="6"/>
        <v>2.3383504187566366</v>
      </c>
      <c r="N18">
        <f t="shared" si="6"/>
        <v>1.3785912060804584</v>
      </c>
      <c r="O18">
        <f t="shared" si="6"/>
        <v>1.7155011922474352</v>
      </c>
      <c r="P18">
        <f t="shared" si="6"/>
        <v>2.1282610751389108</v>
      </c>
      <c r="Q18">
        <f t="shared" si="6"/>
        <v>1.7655774785664782</v>
      </c>
      <c r="R18">
        <f t="shared" si="6"/>
        <v>0.90851727425657702</v>
      </c>
      <c r="S18">
        <f t="shared" si="6"/>
        <v>0.53350020897623229</v>
      </c>
      <c r="T18">
        <f t="shared" si="6"/>
        <v>1.0206037256677358</v>
      </c>
      <c r="U18">
        <f t="shared" si="6"/>
        <v>0.56657102170477858</v>
      </c>
      <c r="V18">
        <f t="shared" si="6"/>
        <v>1.1303213779653136</v>
      </c>
      <c r="W18">
        <f t="shared" si="6"/>
        <v>0.61329882952574732</v>
      </c>
      <c r="X18">
        <f t="shared" si="6"/>
        <v>5.9307397820932968</v>
      </c>
      <c r="Y18">
        <f t="shared" si="6"/>
        <v>0.43307968786407763</v>
      </c>
      <c r="Z18">
        <f t="shared" si="6"/>
        <v>2.4382868242299076</v>
      </c>
      <c r="AA18">
        <f t="shared" si="6"/>
        <v>2.5931955633473636</v>
      </c>
      <c r="AB18">
        <f t="shared" si="6"/>
        <v>3.8546980365201367</v>
      </c>
      <c r="AC18">
        <f t="shared" si="6"/>
        <v>3.4704867660896697</v>
      </c>
      <c r="AD18">
        <f t="shared" si="6"/>
        <v>1.0871719450768493</v>
      </c>
      <c r="AE18">
        <f t="shared" si="6"/>
        <v>2.1077107845592802</v>
      </c>
      <c r="AF18">
        <f t="shared" si="6"/>
        <v>0.78636817364631129</v>
      </c>
      <c r="AG18">
        <f t="shared" si="6"/>
        <v>3.279415304819111</v>
      </c>
      <c r="AH18">
        <f t="shared" si="6"/>
        <v>3.7653978327264728</v>
      </c>
      <c r="AI18">
        <f t="shared" si="6"/>
        <v>2.9314958269324185</v>
      </c>
      <c r="AJ18">
        <f t="shared" si="6"/>
        <v>2.1472385448912701</v>
      </c>
      <c r="AK18">
        <f t="shared" si="6"/>
        <v>1.82908844381738</v>
      </c>
      <c r="AL18">
        <f t="shared" si="6"/>
        <v>1.4236493787731139</v>
      </c>
      <c r="AM18">
        <f t="shared" si="6"/>
        <v>2.8794590983252539</v>
      </c>
      <c r="AN18">
        <f t="shared" si="6"/>
        <v>0.92384854596776511</v>
      </c>
      <c r="AO18">
        <f t="shared" si="6"/>
        <v>3.3000291062665483</v>
      </c>
      <c r="AP18">
        <f t="shared" si="6"/>
        <v>1.6761947294331359</v>
      </c>
      <c r="AQ18">
        <f t="shared" si="6"/>
        <v>2.3125547701388101</v>
      </c>
      <c r="AR18">
        <f t="shared" si="6"/>
        <v>2.9859414992177236</v>
      </c>
      <c r="AS18">
        <f t="shared" si="6"/>
        <v>2.159513702503931</v>
      </c>
      <c r="AT18">
        <f t="shared" si="6"/>
        <v>0.56237518793638319</v>
      </c>
      <c r="AU18">
        <f t="shared" si="6"/>
        <v>0.14203672508220352</v>
      </c>
      <c r="AV18">
        <f t="shared" si="6"/>
        <v>0.26463435544920821</v>
      </c>
      <c r="AW18">
        <f t="shared" si="6"/>
        <v>9.2898386564633534E-2</v>
      </c>
    </row>
    <row r="19" spans="7:49" x14ac:dyDescent="0.35">
      <c r="H19">
        <f>$E$5+H18</f>
        <v>0.81515351470351993</v>
      </c>
      <c r="I19">
        <f t="shared" ref="I19:AW19" si="7">$E$5+I18</f>
        <v>0.8117658295835124</v>
      </c>
      <c r="J19">
        <f t="shared" si="7"/>
        <v>0.98865451532898274</v>
      </c>
      <c r="K19">
        <f t="shared" si="7"/>
        <v>0.90170935723746104</v>
      </c>
      <c r="L19">
        <f t="shared" si="7"/>
        <v>1.9444673505554624</v>
      </c>
      <c r="M19">
        <f t="shared" si="7"/>
        <v>3.1341451429705853</v>
      </c>
      <c r="N19">
        <f t="shared" si="7"/>
        <v>2.1743859302944069</v>
      </c>
      <c r="O19">
        <f t="shared" si="7"/>
        <v>2.5112959164613837</v>
      </c>
      <c r="P19">
        <f t="shared" si="7"/>
        <v>2.9240557993528595</v>
      </c>
      <c r="Q19">
        <f t="shared" si="7"/>
        <v>2.5613722027804267</v>
      </c>
      <c r="R19">
        <f t="shared" si="7"/>
        <v>1.7043119984705257</v>
      </c>
      <c r="S19">
        <f t="shared" si="7"/>
        <v>1.3292949331901811</v>
      </c>
      <c r="T19">
        <f t="shared" si="7"/>
        <v>1.8163984498816845</v>
      </c>
      <c r="U19">
        <f t="shared" si="7"/>
        <v>1.3623657459187273</v>
      </c>
      <c r="V19">
        <f t="shared" si="7"/>
        <v>1.9261161021792623</v>
      </c>
      <c r="W19">
        <f t="shared" si="7"/>
        <v>1.409093553739696</v>
      </c>
      <c r="X19">
        <f t="shared" si="7"/>
        <v>6.7265345063072459</v>
      </c>
      <c r="Y19">
        <f t="shared" si="7"/>
        <v>1.2288744120780264</v>
      </c>
      <c r="Z19">
        <f t="shared" si="7"/>
        <v>3.2340815484438563</v>
      </c>
      <c r="AA19">
        <f t="shared" si="7"/>
        <v>3.3889902875613123</v>
      </c>
      <c r="AB19">
        <f t="shared" si="7"/>
        <v>4.6504927607340854</v>
      </c>
      <c r="AC19">
        <f t="shared" si="7"/>
        <v>4.2662814903036184</v>
      </c>
      <c r="AD19">
        <f t="shared" si="7"/>
        <v>1.882966669290798</v>
      </c>
      <c r="AE19">
        <f t="shared" si="7"/>
        <v>2.9035055087732289</v>
      </c>
      <c r="AF19">
        <f t="shared" si="7"/>
        <v>1.58216289786026</v>
      </c>
      <c r="AG19">
        <f t="shared" si="7"/>
        <v>4.0752100290330597</v>
      </c>
      <c r="AH19">
        <f t="shared" si="7"/>
        <v>4.561192556940421</v>
      </c>
      <c r="AI19">
        <f t="shared" si="7"/>
        <v>3.7272905511463672</v>
      </c>
      <c r="AJ19">
        <f t="shared" si="7"/>
        <v>2.9430332691052188</v>
      </c>
      <c r="AK19">
        <f t="shared" si="7"/>
        <v>2.6248831680313289</v>
      </c>
      <c r="AL19">
        <f t="shared" si="7"/>
        <v>2.2194441029870626</v>
      </c>
      <c r="AM19">
        <f t="shared" si="7"/>
        <v>3.6752538225392026</v>
      </c>
      <c r="AN19">
        <f t="shared" si="7"/>
        <v>1.7196432701817139</v>
      </c>
      <c r="AO19">
        <f t="shared" si="7"/>
        <v>4.095823830480497</v>
      </c>
      <c r="AP19">
        <f t="shared" si="7"/>
        <v>2.4719894536470846</v>
      </c>
      <c r="AQ19">
        <f t="shared" si="7"/>
        <v>3.1083494943527588</v>
      </c>
      <c r="AR19">
        <f t="shared" si="7"/>
        <v>3.7817362234316723</v>
      </c>
      <c r="AS19">
        <f t="shared" si="7"/>
        <v>2.9553084267178797</v>
      </c>
      <c r="AT19">
        <f t="shared" si="7"/>
        <v>1.3581699121503319</v>
      </c>
      <c r="AU19">
        <f t="shared" si="7"/>
        <v>0.93783144929615225</v>
      </c>
      <c r="AV19">
        <f t="shared" si="7"/>
        <v>1.060429079663157</v>
      </c>
      <c r="AW19">
        <f t="shared" si="7"/>
        <v>0.88869311077858226</v>
      </c>
    </row>
    <row r="21" spans="7:49" x14ac:dyDescent="0.35">
      <c r="G21" t="s">
        <v>11</v>
      </c>
      <c r="H21">
        <v>-4.2819882043247901</v>
      </c>
      <c r="I21">
        <v>-2.4988228958594298</v>
      </c>
      <c r="J21">
        <v>-0.76472521106983804</v>
      </c>
      <c r="K21">
        <v>-1.2099180673637999</v>
      </c>
      <c r="L21">
        <v>-0.94749332933823005</v>
      </c>
      <c r="M21">
        <v>-1.09527140045654</v>
      </c>
      <c r="N21">
        <v>-1.12139582277813</v>
      </c>
      <c r="O21">
        <v>-0.44838235305426399</v>
      </c>
      <c r="P21">
        <v>-0.123419009365038</v>
      </c>
      <c r="Q21">
        <v>0.40466120975391501</v>
      </c>
      <c r="R21">
        <v>-0.30591438309996799</v>
      </c>
      <c r="S21">
        <v>-6.6491944751190704E-2</v>
      </c>
      <c r="T21">
        <v>0.54098579184218398</v>
      </c>
      <c r="U21">
        <v>0.81909358065906801</v>
      </c>
      <c r="V21">
        <v>1.3458368685069</v>
      </c>
      <c r="W21">
        <v>0.695139513195003</v>
      </c>
      <c r="X21">
        <v>1.29462955355429</v>
      </c>
      <c r="Y21">
        <v>0.79079015326064195</v>
      </c>
      <c r="Z21">
        <v>1.01545895896834</v>
      </c>
      <c r="AA21">
        <v>1.0090045992796599</v>
      </c>
      <c r="AB21">
        <v>0.90291842213034801</v>
      </c>
      <c r="AC21">
        <v>0.50042237919275301</v>
      </c>
      <c r="AD21">
        <v>0.52604382273362005</v>
      </c>
      <c r="AE21">
        <v>0.65902088619565902</v>
      </c>
      <c r="AF21">
        <v>0.66297357708562599</v>
      </c>
      <c r="AG21">
        <v>0.69384495177316896</v>
      </c>
      <c r="AH21">
        <v>0.51582294666296702</v>
      </c>
      <c r="AI21">
        <v>-1.9533164339640498E-2</v>
      </c>
      <c r="AJ21">
        <v>0.30298169087579202</v>
      </c>
      <c r="AK21">
        <v>9.1870313399306305E-2</v>
      </c>
      <c r="AL21">
        <v>-0.19432706478807399</v>
      </c>
      <c r="AM21">
        <v>-0.196967929454648</v>
      </c>
      <c r="AN21">
        <v>-0.74567234074924305</v>
      </c>
      <c r="AO21">
        <v>-0.21851101117477001</v>
      </c>
      <c r="AP21">
        <v>0.13682759894615101</v>
      </c>
      <c r="AQ21">
        <v>0.28923509932200903</v>
      </c>
      <c r="AR21">
        <v>9.5356844692508394E-2</v>
      </c>
      <c r="AS21">
        <v>-0.44985284216328603</v>
      </c>
      <c r="AT21">
        <v>-0.220449728021506</v>
      </c>
      <c r="AU21">
        <v>1.0971249368482599E-2</v>
      </c>
      <c r="AV21">
        <v>0.64356354358149204</v>
      </c>
      <c r="AW21">
        <v>0.96168314566818003</v>
      </c>
    </row>
    <row r="22" spans="7:49" x14ac:dyDescent="0.35">
      <c r="G22" t="s">
        <v>14</v>
      </c>
      <c r="H22">
        <f>EXP(H21)</f>
        <v>1.381516738744943E-2</v>
      </c>
      <c r="I22">
        <f t="shared" ref="I22:AW22" si="8">EXP(I21)</f>
        <v>8.2181678105403624E-2</v>
      </c>
      <c r="J22">
        <f t="shared" si="8"/>
        <v>0.46546181715742291</v>
      </c>
      <c r="K22">
        <f t="shared" si="8"/>
        <v>0.29822171252001883</v>
      </c>
      <c r="L22">
        <f t="shared" si="8"/>
        <v>0.38771167187140482</v>
      </c>
      <c r="M22">
        <f t="shared" si="8"/>
        <v>0.33444882506623042</v>
      </c>
      <c r="N22">
        <f t="shared" si="8"/>
        <v>0.3258246835547508</v>
      </c>
      <c r="O22">
        <f t="shared" si="8"/>
        <v>0.6386604435706118</v>
      </c>
      <c r="P22">
        <f t="shared" si="8"/>
        <v>0.88389322541878068</v>
      </c>
      <c r="Q22">
        <f t="shared" si="8"/>
        <v>1.4987946370281946</v>
      </c>
      <c r="R22">
        <f t="shared" si="8"/>
        <v>0.73644966929471034</v>
      </c>
      <c r="S22">
        <f t="shared" si="8"/>
        <v>0.93567045288427586</v>
      </c>
      <c r="T22">
        <f t="shared" si="8"/>
        <v>1.717699321820124</v>
      </c>
      <c r="U22">
        <f t="shared" si="8"/>
        <v>2.2684427450011531</v>
      </c>
      <c r="V22">
        <f t="shared" si="8"/>
        <v>3.8413999424492422</v>
      </c>
      <c r="W22">
        <f t="shared" si="8"/>
        <v>2.0039886372968723</v>
      </c>
      <c r="X22">
        <f t="shared" si="8"/>
        <v>3.6496437261425463</v>
      </c>
      <c r="Y22">
        <f t="shared" si="8"/>
        <v>2.2051381351444896</v>
      </c>
      <c r="Z22">
        <f t="shared" si="8"/>
        <v>2.7606301226196366</v>
      </c>
      <c r="AA22">
        <f t="shared" si="8"/>
        <v>2.7428694015393593</v>
      </c>
      <c r="AB22">
        <f t="shared" si="8"/>
        <v>2.4667917559562054</v>
      </c>
      <c r="AC22">
        <f t="shared" si="8"/>
        <v>1.649417803349615</v>
      </c>
      <c r="AD22">
        <f t="shared" si="8"/>
        <v>1.6922243090089502</v>
      </c>
      <c r="AE22">
        <f t="shared" si="8"/>
        <v>1.9328988796240065</v>
      </c>
      <c r="AF22">
        <f t="shared" si="8"/>
        <v>1.9405541509102495</v>
      </c>
      <c r="AG22">
        <f t="shared" si="8"/>
        <v>2.0013960294243778</v>
      </c>
      <c r="AH22">
        <f t="shared" si="8"/>
        <v>1.6750163839015735</v>
      </c>
      <c r="AI22">
        <f t="shared" si="8"/>
        <v>0.98065637182837539</v>
      </c>
      <c r="AJ22">
        <f t="shared" si="8"/>
        <v>1.3538896756811227</v>
      </c>
      <c r="AK22">
        <f t="shared" si="8"/>
        <v>1.0962226474731913</v>
      </c>
      <c r="AL22">
        <f t="shared" si="8"/>
        <v>0.8233885588197789</v>
      </c>
      <c r="AM22">
        <f t="shared" si="8"/>
        <v>0.82121696976641612</v>
      </c>
      <c r="AN22">
        <f t="shared" si="8"/>
        <v>0.47441522400089703</v>
      </c>
      <c r="AO22">
        <f t="shared" si="8"/>
        <v>0.80371462955368111</v>
      </c>
      <c r="AP22">
        <f t="shared" si="8"/>
        <v>1.1466304511811141</v>
      </c>
      <c r="AQ22">
        <f t="shared" si="8"/>
        <v>1.3354056445879858</v>
      </c>
      <c r="AR22">
        <f t="shared" si="8"/>
        <v>1.100051332574707</v>
      </c>
      <c r="AS22">
        <f t="shared" si="8"/>
        <v>0.63772199050558809</v>
      </c>
      <c r="AT22">
        <f t="shared" si="8"/>
        <v>0.80215796391592209</v>
      </c>
      <c r="AU22">
        <f t="shared" si="8"/>
        <v>1.0110316542283135</v>
      </c>
      <c r="AV22">
        <f t="shared" si="8"/>
        <v>1.9032511274424437</v>
      </c>
      <c r="AW22">
        <f t="shared" si="8"/>
        <v>2.616096040546477</v>
      </c>
    </row>
    <row r="23" spans="7:49" x14ac:dyDescent="0.35">
      <c r="H23">
        <f>$E$4+H22</f>
        <v>7.8773018782383714E-2</v>
      </c>
      <c r="I23">
        <f t="shared" ref="I23:AW23" si="9">$E$4+I22</f>
        <v>0.1471395295003379</v>
      </c>
      <c r="J23">
        <f t="shared" si="9"/>
        <v>0.53041966855235723</v>
      </c>
      <c r="K23">
        <f t="shared" si="9"/>
        <v>0.3631795639149531</v>
      </c>
      <c r="L23">
        <f t="shared" si="9"/>
        <v>0.45266952326633908</v>
      </c>
      <c r="M23">
        <f t="shared" si="9"/>
        <v>0.39940667646116468</v>
      </c>
      <c r="N23">
        <f t="shared" si="9"/>
        <v>0.39078253494968507</v>
      </c>
      <c r="O23">
        <f t="shared" si="9"/>
        <v>0.70361829496554607</v>
      </c>
      <c r="P23">
        <f t="shared" si="9"/>
        <v>0.94885107681371494</v>
      </c>
      <c r="Q23">
        <f t="shared" si="9"/>
        <v>1.5637524884231289</v>
      </c>
      <c r="R23">
        <f t="shared" si="9"/>
        <v>0.8014075206896446</v>
      </c>
      <c r="S23">
        <f t="shared" si="9"/>
        <v>1.0006283042792101</v>
      </c>
      <c r="T23">
        <f t="shared" si="9"/>
        <v>1.7826571732150582</v>
      </c>
      <c r="U23">
        <f t="shared" si="9"/>
        <v>2.3334005963960873</v>
      </c>
      <c r="V23">
        <f t="shared" si="9"/>
        <v>3.9063577938441765</v>
      </c>
      <c r="W23">
        <f t="shared" si="9"/>
        <v>2.0689464886918065</v>
      </c>
      <c r="X23">
        <f t="shared" si="9"/>
        <v>3.7146015775374805</v>
      </c>
      <c r="Y23">
        <f t="shared" si="9"/>
        <v>2.2700959865394239</v>
      </c>
      <c r="Z23">
        <f t="shared" si="9"/>
        <v>2.8255879740145708</v>
      </c>
      <c r="AA23">
        <f t="shared" si="9"/>
        <v>2.8078272529342936</v>
      </c>
      <c r="AB23">
        <f t="shared" si="9"/>
        <v>2.5317496073511396</v>
      </c>
      <c r="AC23">
        <f t="shared" si="9"/>
        <v>1.7143756547445492</v>
      </c>
      <c r="AD23">
        <f t="shared" si="9"/>
        <v>1.7571821604038844</v>
      </c>
      <c r="AE23">
        <f t="shared" si="9"/>
        <v>1.9978567310189408</v>
      </c>
      <c r="AF23">
        <f t="shared" si="9"/>
        <v>2.005512002305184</v>
      </c>
      <c r="AG23">
        <f t="shared" si="9"/>
        <v>2.066353880819312</v>
      </c>
      <c r="AH23">
        <f t="shared" si="9"/>
        <v>1.7399742352965077</v>
      </c>
      <c r="AI23">
        <f t="shared" si="9"/>
        <v>1.0456142232233097</v>
      </c>
      <c r="AJ23">
        <f t="shared" si="9"/>
        <v>1.418847527076057</v>
      </c>
      <c r="AK23">
        <f t="shared" si="9"/>
        <v>1.1611804988681256</v>
      </c>
      <c r="AL23">
        <f t="shared" si="9"/>
        <v>0.88834641021471317</v>
      </c>
      <c r="AM23">
        <f t="shared" si="9"/>
        <v>0.88617482116135038</v>
      </c>
      <c r="AN23">
        <f t="shared" si="9"/>
        <v>0.53937307539583135</v>
      </c>
      <c r="AO23">
        <f t="shared" si="9"/>
        <v>0.86867248094861538</v>
      </c>
      <c r="AP23">
        <f t="shared" si="9"/>
        <v>1.2115883025760483</v>
      </c>
      <c r="AQ23">
        <f t="shared" si="9"/>
        <v>1.4003634959829201</v>
      </c>
      <c r="AR23">
        <f t="shared" si="9"/>
        <v>1.1650091839696413</v>
      </c>
      <c r="AS23">
        <f t="shared" si="9"/>
        <v>0.70267984190052235</v>
      </c>
      <c r="AT23">
        <f t="shared" si="9"/>
        <v>0.86711581531085635</v>
      </c>
      <c r="AU23">
        <f t="shared" si="9"/>
        <v>1.0759895056232478</v>
      </c>
      <c r="AV23">
        <f t="shared" si="9"/>
        <v>1.968208978837378</v>
      </c>
      <c r="AW23">
        <f t="shared" si="9"/>
        <v>2.6810538919414113</v>
      </c>
    </row>
    <row r="25" spans="7:49" x14ac:dyDescent="0.35">
      <c r="G25" t="s">
        <v>10</v>
      </c>
      <c r="H25">
        <v>-9.3488002509203891</v>
      </c>
      <c r="I25">
        <v>-7.2709835851594402</v>
      </c>
      <c r="J25">
        <v>-4.3774045630259204</v>
      </c>
      <c r="K25">
        <v>-3.7301089700018801</v>
      </c>
      <c r="L25">
        <v>-2.6914851859614402</v>
      </c>
      <c r="M25">
        <v>0.574917053946981</v>
      </c>
      <c r="N25">
        <v>0.63617142550863803</v>
      </c>
      <c r="O25">
        <v>0.43389158639111503</v>
      </c>
      <c r="P25">
        <v>0.383868126332712</v>
      </c>
      <c r="Q25">
        <v>0.40941344832182702</v>
      </c>
      <c r="R25">
        <v>-0.47929353001266001</v>
      </c>
      <c r="S25">
        <v>-1.1109909757973699</v>
      </c>
      <c r="T25">
        <v>-0.78569706790886296</v>
      </c>
      <c r="U25">
        <v>-2.2995717198822501</v>
      </c>
      <c r="V25">
        <v>-2.3610244001401202</v>
      </c>
      <c r="W25">
        <v>-0.168417333978715</v>
      </c>
      <c r="X25">
        <v>-0.44938778362881598</v>
      </c>
      <c r="Y25">
        <v>-4.9563545635666504</v>
      </c>
      <c r="Z25">
        <v>1.42542223224264</v>
      </c>
      <c r="AA25">
        <v>1.54630477729536</v>
      </c>
      <c r="AB25">
        <v>2.0680717606399099</v>
      </c>
      <c r="AC25">
        <v>1.9465909702352899</v>
      </c>
      <c r="AD25">
        <v>0.91516221097893402</v>
      </c>
      <c r="AE25">
        <v>1.8491763658643601</v>
      </c>
      <c r="AF25">
        <v>0.94317838378694197</v>
      </c>
      <c r="AG25">
        <v>2.1236764913304498</v>
      </c>
      <c r="AH25">
        <v>1.9274644997229</v>
      </c>
      <c r="AI25">
        <v>1.75946796829337</v>
      </c>
      <c r="AJ25">
        <v>1.28152536506084</v>
      </c>
      <c r="AK25">
        <v>1.05090480248728</v>
      </c>
      <c r="AL25">
        <v>0.95283806891728795</v>
      </c>
      <c r="AM25">
        <v>1.85506994651255</v>
      </c>
      <c r="AN25">
        <v>0.79244666701433797</v>
      </c>
      <c r="AO25">
        <v>1.9820353718513199</v>
      </c>
      <c r="AP25">
        <v>1.25509242211099</v>
      </c>
      <c r="AQ25">
        <v>1.4177038511962801</v>
      </c>
      <c r="AR25">
        <v>1.67817246561536</v>
      </c>
      <c r="AS25">
        <v>1.7675602973016</v>
      </c>
      <c r="AT25">
        <v>1.1435733043063601</v>
      </c>
      <c r="AU25">
        <v>1.4661308095157299</v>
      </c>
      <c r="AV25">
        <v>2.0719707527101101</v>
      </c>
      <c r="AW25">
        <v>2.3717184993819398</v>
      </c>
    </row>
    <row r="26" spans="7:49" x14ac:dyDescent="0.35">
      <c r="H26">
        <f>EXP(H25)</f>
        <v>8.7069818389876025E-5</v>
      </c>
      <c r="I26">
        <f t="shared" ref="I26:AW26" si="10">EXP(I25)</f>
        <v>6.9542764494637244E-4</v>
      </c>
      <c r="J26">
        <f t="shared" si="10"/>
        <v>1.2557909623718274E-2</v>
      </c>
      <c r="K26">
        <f t="shared" si="10"/>
        <v>2.3990221479788767E-2</v>
      </c>
      <c r="L26">
        <f t="shared" si="10"/>
        <v>6.7780198381626952E-2</v>
      </c>
      <c r="M26">
        <f t="shared" si="10"/>
        <v>1.7769831270643337</v>
      </c>
      <c r="N26">
        <f t="shared" si="10"/>
        <v>1.8892339425577946</v>
      </c>
      <c r="O26">
        <f t="shared" si="10"/>
        <v>1.5432515495769406</v>
      </c>
      <c r="P26">
        <f t="shared" si="10"/>
        <v>1.4679518447239337</v>
      </c>
      <c r="Q26">
        <f t="shared" si="10"/>
        <v>1.5059342177665818</v>
      </c>
      <c r="R26">
        <f t="shared" si="10"/>
        <v>0.61922069815483338</v>
      </c>
      <c r="S26">
        <f t="shared" si="10"/>
        <v>0.32923253788641027</v>
      </c>
      <c r="T26">
        <f t="shared" si="10"/>
        <v>0.45580186616829871</v>
      </c>
      <c r="U26">
        <f t="shared" si="10"/>
        <v>0.10030179178844364</v>
      </c>
      <c r="V26">
        <f t="shared" si="10"/>
        <v>9.4323548631602833E-2</v>
      </c>
      <c r="W26">
        <f t="shared" si="10"/>
        <v>0.84500111341181328</v>
      </c>
      <c r="X26">
        <f t="shared" si="10"/>
        <v>0.6380186375336615</v>
      </c>
      <c r="Y26">
        <f t="shared" si="10"/>
        <v>7.0385396700100083E-3</v>
      </c>
      <c r="Z26">
        <f t="shared" si="10"/>
        <v>4.159613795081289</v>
      </c>
      <c r="AA26">
        <f t="shared" si="10"/>
        <v>4.6940923782024759</v>
      </c>
      <c r="AB26">
        <f t="shared" si="10"/>
        <v>7.9095568851973619</v>
      </c>
      <c r="AC26">
        <f t="shared" si="10"/>
        <v>7.004767370939244</v>
      </c>
      <c r="AD26">
        <f t="shared" si="10"/>
        <v>2.4971802891125305</v>
      </c>
      <c r="AE26">
        <f t="shared" si="10"/>
        <v>6.3545835147199181</v>
      </c>
      <c r="AF26">
        <f t="shared" si="10"/>
        <v>2.568130966098769</v>
      </c>
      <c r="AG26">
        <f t="shared" si="10"/>
        <v>8.3618232157767487</v>
      </c>
      <c r="AH26">
        <f t="shared" si="10"/>
        <v>6.8720640132595223</v>
      </c>
      <c r="AI26">
        <f t="shared" si="10"/>
        <v>5.8093458158977835</v>
      </c>
      <c r="AJ26">
        <f t="shared" si="10"/>
        <v>3.6021301004915771</v>
      </c>
      <c r="AK26">
        <f t="shared" si="10"/>
        <v>2.860237897988545</v>
      </c>
      <c r="AL26">
        <f t="shared" si="10"/>
        <v>2.5930585048614536</v>
      </c>
      <c r="AM26">
        <f t="shared" si="10"/>
        <v>6.392145343258905</v>
      </c>
      <c r="AN26">
        <f t="shared" si="10"/>
        <v>2.2087940039566538</v>
      </c>
      <c r="AO26">
        <f t="shared" si="10"/>
        <v>7.2574996729383896</v>
      </c>
      <c r="AP26">
        <f t="shared" si="10"/>
        <v>3.5081625911523213</v>
      </c>
      <c r="AQ26">
        <f t="shared" si="10"/>
        <v>4.1276318938277949</v>
      </c>
      <c r="AR26">
        <f t="shared" si="10"/>
        <v>5.3557591877979061</v>
      </c>
      <c r="AS26">
        <f t="shared" si="10"/>
        <v>5.8565476824924145</v>
      </c>
      <c r="AT26">
        <f t="shared" si="10"/>
        <v>3.1379612459252462</v>
      </c>
      <c r="AU26">
        <f t="shared" si="10"/>
        <v>4.3324396352999033</v>
      </c>
      <c r="AV26">
        <f t="shared" si="10"/>
        <v>7.9404563840772333</v>
      </c>
      <c r="AW26">
        <f t="shared" si="10"/>
        <v>10.715791551176084</v>
      </c>
    </row>
    <row r="27" spans="7:49" x14ac:dyDescent="0.35">
      <c r="H27">
        <f>$E$5+H26</f>
        <v>0.79588179403233861</v>
      </c>
      <c r="I27">
        <f t="shared" ref="I27:AW27" si="11">$E$5+I26</f>
        <v>0.79649015185889505</v>
      </c>
      <c r="J27">
        <f t="shared" si="11"/>
        <v>0.80835263383766698</v>
      </c>
      <c r="K27">
        <f t="shared" si="11"/>
        <v>0.8197849456937375</v>
      </c>
      <c r="L27">
        <f t="shared" si="11"/>
        <v>0.86357492259557567</v>
      </c>
      <c r="M27">
        <f t="shared" si="11"/>
        <v>2.5727778512782824</v>
      </c>
      <c r="N27">
        <f t="shared" si="11"/>
        <v>2.6850286667717436</v>
      </c>
      <c r="O27">
        <f t="shared" si="11"/>
        <v>2.3390462737908893</v>
      </c>
      <c r="P27">
        <f t="shared" si="11"/>
        <v>2.2637465689378824</v>
      </c>
      <c r="Q27">
        <f t="shared" si="11"/>
        <v>2.3017289419805307</v>
      </c>
      <c r="R27">
        <f t="shared" si="11"/>
        <v>1.4150154223687821</v>
      </c>
      <c r="S27">
        <f t="shared" si="11"/>
        <v>1.125027262100359</v>
      </c>
      <c r="T27">
        <f t="shared" si="11"/>
        <v>1.2515965903822475</v>
      </c>
      <c r="U27">
        <f t="shared" si="11"/>
        <v>0.89609651600239237</v>
      </c>
      <c r="V27">
        <f t="shared" si="11"/>
        <v>0.89011827284555156</v>
      </c>
      <c r="W27">
        <f t="shared" si="11"/>
        <v>1.6407958376257619</v>
      </c>
      <c r="X27">
        <f t="shared" si="11"/>
        <v>1.4338133617476103</v>
      </c>
      <c r="Y27">
        <f t="shared" si="11"/>
        <v>0.8028332638839587</v>
      </c>
      <c r="Z27">
        <f t="shared" si="11"/>
        <v>4.9554085192952382</v>
      </c>
      <c r="AA27">
        <f t="shared" si="11"/>
        <v>5.4898871024164251</v>
      </c>
      <c r="AB27">
        <f t="shared" si="11"/>
        <v>8.705351609411311</v>
      </c>
      <c r="AC27">
        <f t="shared" si="11"/>
        <v>7.8005620951531931</v>
      </c>
      <c r="AD27">
        <f t="shared" si="11"/>
        <v>3.2929750133264792</v>
      </c>
      <c r="AE27">
        <f t="shared" si="11"/>
        <v>7.1503782389338664</v>
      </c>
      <c r="AF27">
        <f t="shared" si="11"/>
        <v>3.3639256903127177</v>
      </c>
      <c r="AG27">
        <f t="shared" si="11"/>
        <v>9.157617939990697</v>
      </c>
      <c r="AH27">
        <f t="shared" si="11"/>
        <v>7.6678587374734715</v>
      </c>
      <c r="AI27">
        <f t="shared" si="11"/>
        <v>6.6051405401117318</v>
      </c>
      <c r="AJ27">
        <f t="shared" si="11"/>
        <v>4.3979248247055258</v>
      </c>
      <c r="AK27">
        <f t="shared" si="11"/>
        <v>3.6560326222024937</v>
      </c>
      <c r="AL27">
        <f t="shared" si="11"/>
        <v>3.3888532290754023</v>
      </c>
      <c r="AM27">
        <f t="shared" si="11"/>
        <v>7.1879400674728533</v>
      </c>
      <c r="AN27">
        <f t="shared" si="11"/>
        <v>3.0045887281706025</v>
      </c>
      <c r="AO27">
        <f t="shared" si="11"/>
        <v>8.0532943971523387</v>
      </c>
      <c r="AP27">
        <f t="shared" si="11"/>
        <v>4.3039573153662705</v>
      </c>
      <c r="AQ27">
        <f t="shared" si="11"/>
        <v>4.9234266180417432</v>
      </c>
      <c r="AR27">
        <f t="shared" si="11"/>
        <v>6.1515539120118543</v>
      </c>
      <c r="AS27">
        <f t="shared" si="11"/>
        <v>6.6523424067063637</v>
      </c>
      <c r="AT27">
        <f t="shared" si="11"/>
        <v>3.9337559701391949</v>
      </c>
      <c r="AU27">
        <f t="shared" si="11"/>
        <v>5.1282343595138524</v>
      </c>
      <c r="AV27">
        <f t="shared" si="11"/>
        <v>8.7362511082911816</v>
      </c>
      <c r="AW27">
        <f t="shared" si="11"/>
        <v>11.511586275390032</v>
      </c>
    </row>
    <row r="59" spans="18:19" x14ac:dyDescent="0.35">
      <c r="R59">
        <v>-1.32756831216465</v>
      </c>
      <c r="S59">
        <v>-2.2506636131384301</v>
      </c>
    </row>
    <row r="60" spans="18:19" x14ac:dyDescent="0.35">
      <c r="R60">
        <f>EXP(R59)</f>
        <v>0.2651211700140555</v>
      </c>
      <c r="S60">
        <f>EXP(S59)</f>
        <v>0.10532930345451348</v>
      </c>
    </row>
    <row r="65" spans="6:47" x14ac:dyDescent="0.35">
      <c r="F65">
        <v>-1.6479999999999999</v>
      </c>
      <c r="G65">
        <v>-1.6479999999999999</v>
      </c>
      <c r="H65">
        <v>-1.6479999999999999</v>
      </c>
      <c r="I65">
        <v>-1.6479999999999999</v>
      </c>
      <c r="J65">
        <v>-1.6479999999999999</v>
      </c>
      <c r="K65">
        <v>-1.6479999999999999</v>
      </c>
      <c r="L65">
        <v>-1.6479999999999999</v>
      </c>
      <c r="M65">
        <v>-1.6479999999999999</v>
      </c>
      <c r="N65">
        <v>-1.6479999999999999</v>
      </c>
      <c r="O65">
        <v>-1.6479999999999999</v>
      </c>
      <c r="P65">
        <v>-1.6479999999999999</v>
      </c>
      <c r="Q65">
        <v>-1.6479999999999999</v>
      </c>
      <c r="R65">
        <v>-1.6479999999999999</v>
      </c>
      <c r="S65">
        <v>-1.6479999999999999</v>
      </c>
      <c r="T65">
        <v>-1.6479999999999999</v>
      </c>
      <c r="U65">
        <v>-1.6479999999999999</v>
      </c>
      <c r="V65">
        <v>-1.6479999999999999</v>
      </c>
      <c r="W65">
        <v>-1.6479999999999999</v>
      </c>
      <c r="X65">
        <v>-1.6479999999999999</v>
      </c>
      <c r="Y65">
        <v>-1.6479999999999999</v>
      </c>
      <c r="Z65">
        <v>-1.6479999999999999</v>
      </c>
      <c r="AA65">
        <v>-1.6479999999999999</v>
      </c>
    </row>
    <row r="69" spans="6:47" x14ac:dyDescent="0.35"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0.5</v>
      </c>
      <c r="AI69">
        <v>0.5</v>
      </c>
      <c r="AJ69">
        <v>0.5</v>
      </c>
      <c r="AK69">
        <v>0.5</v>
      </c>
      <c r="AL69">
        <v>0.5</v>
      </c>
      <c r="AM69">
        <v>0.5</v>
      </c>
      <c r="AN69">
        <v>0.5</v>
      </c>
      <c r="AO69">
        <v>0.5</v>
      </c>
      <c r="AP69">
        <v>0.5</v>
      </c>
      <c r="AQ69">
        <v>0.5</v>
      </c>
      <c r="AR69">
        <v>0.5</v>
      </c>
      <c r="AS69">
        <v>0.5</v>
      </c>
      <c r="AT69">
        <v>0.5</v>
      </c>
      <c r="AU69">
        <v>0.5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E7F9B-45FE-49C9-8CC7-C88FAF3A0102}">
  <dimension ref="C3:AW58"/>
  <sheetViews>
    <sheetView workbookViewId="0">
      <selection sqref="A1:XFD1048576"/>
    </sheetView>
  </sheetViews>
  <sheetFormatPr baseColWidth="10" defaultRowHeight="14.5" x14ac:dyDescent="0.35"/>
  <cols>
    <col min="3" max="3" width="16.1796875" customWidth="1"/>
  </cols>
  <sheetData>
    <row r="3" spans="3:49" x14ac:dyDescent="0.35">
      <c r="C3" t="s">
        <v>1</v>
      </c>
    </row>
    <row r="4" spans="3:49" x14ac:dyDescent="0.35">
      <c r="C4" t="s">
        <v>3</v>
      </c>
      <c r="D4">
        <v>-2.7340166594926298</v>
      </c>
      <c r="E4">
        <f>EXP(D4)</f>
        <v>6.4957851394934277E-2</v>
      </c>
      <c r="G4" t="s">
        <v>1</v>
      </c>
      <c r="H4">
        <v>-3.3347046867379899</v>
      </c>
      <c r="I4">
        <v>-2.0417016895807198</v>
      </c>
      <c r="J4">
        <v>-0.96748053929942501</v>
      </c>
      <c r="K4">
        <v>-1.3401510787400699</v>
      </c>
      <c r="L4">
        <v>-1.0109716407678599</v>
      </c>
      <c r="M4">
        <v>-1.0964364936231601</v>
      </c>
      <c r="N4">
        <v>-1.1462631745721401</v>
      </c>
      <c r="O4">
        <v>-0.53354095917709699</v>
      </c>
      <c r="P4">
        <v>-0.25898953603292102</v>
      </c>
      <c r="Q4">
        <v>0.26238427766269801</v>
      </c>
      <c r="R4">
        <v>-0.22956090390543901</v>
      </c>
      <c r="S4">
        <v>-0.13126824287984201</v>
      </c>
      <c r="T4">
        <v>0.46979016484956798</v>
      </c>
      <c r="U4">
        <v>0.76047121418834396</v>
      </c>
      <c r="V4">
        <v>1.22245499563905</v>
      </c>
      <c r="W4">
        <v>0.67215919994310103</v>
      </c>
      <c r="X4">
        <v>1.3221441825842399</v>
      </c>
      <c r="Y4">
        <v>0.81254988474516199</v>
      </c>
      <c r="Z4">
        <v>1.0249995447495399</v>
      </c>
      <c r="AA4">
        <v>1.0242980605502101</v>
      </c>
      <c r="AB4">
        <v>0.84853907822319996</v>
      </c>
      <c r="AC4">
        <v>0.47881752276867801</v>
      </c>
      <c r="AD4">
        <v>0.53229958143513001</v>
      </c>
      <c r="AE4">
        <v>0.62842476658963797</v>
      </c>
      <c r="AF4">
        <v>0.63716659129199205</v>
      </c>
      <c r="AG4">
        <v>0.71444916920338997</v>
      </c>
      <c r="AH4">
        <v>0.42223250306736498</v>
      </c>
      <c r="AI4">
        <v>-3.1828165898473999E-3</v>
      </c>
      <c r="AJ4">
        <v>0.34713900944826098</v>
      </c>
      <c r="AK4">
        <v>7.7598400471572196E-2</v>
      </c>
      <c r="AL4">
        <v>-0.21018479033870699</v>
      </c>
      <c r="AM4">
        <v>-0.238039205769081</v>
      </c>
      <c r="AN4">
        <v>-0.732571372843005</v>
      </c>
      <c r="AO4">
        <v>-0.169010399679661</v>
      </c>
      <c r="AP4">
        <v>8.7422534305468105E-2</v>
      </c>
      <c r="AQ4">
        <v>0.21231808298445401</v>
      </c>
      <c r="AR4">
        <v>0.162835092752626</v>
      </c>
      <c r="AS4">
        <v>-0.42269046261374499</v>
      </c>
      <c r="AT4">
        <v>-0.22593832451999801</v>
      </c>
      <c r="AU4">
        <v>-0.15900352943398599</v>
      </c>
      <c r="AV4">
        <v>0.56766608127972995</v>
      </c>
      <c r="AW4">
        <v>0.96352990748301903</v>
      </c>
    </row>
    <row r="5" spans="3:49" x14ac:dyDescent="0.35">
      <c r="C5" t="s">
        <v>4</v>
      </c>
      <c r="D5">
        <v>-0.22841401054892099</v>
      </c>
      <c r="E5">
        <f>EXP(D5)</f>
        <v>0.7957947242139487</v>
      </c>
      <c r="G5" t="s">
        <v>12</v>
      </c>
      <c r="H5">
        <f>EXP(H4)</f>
        <v>3.5625105224126617E-2</v>
      </c>
      <c r="I5">
        <f t="shared" ref="I5:AW5" si="0">EXP(I4)</f>
        <v>0.12980763053433808</v>
      </c>
      <c r="J5">
        <f t="shared" si="0"/>
        <v>0.38003932708055155</v>
      </c>
      <c r="K5">
        <f t="shared" si="0"/>
        <v>0.26180611225475925</v>
      </c>
      <c r="L5">
        <f t="shared" si="0"/>
        <v>0.36386526143385306</v>
      </c>
      <c r="M5">
        <f t="shared" si="0"/>
        <v>0.33405938793488515</v>
      </c>
      <c r="N5">
        <f t="shared" si="0"/>
        <v>0.31782219920298732</v>
      </c>
      <c r="O5">
        <f t="shared" si="0"/>
        <v>0.58652442923755677</v>
      </c>
      <c r="P5">
        <f t="shared" si="0"/>
        <v>0.77183109941666284</v>
      </c>
      <c r="Q5">
        <f t="shared" si="0"/>
        <v>1.3000260174141141</v>
      </c>
      <c r="R5">
        <f t="shared" si="0"/>
        <v>0.79488255571157951</v>
      </c>
      <c r="S5">
        <f t="shared" si="0"/>
        <v>0.8769824985259409</v>
      </c>
      <c r="T5">
        <f t="shared" si="0"/>
        <v>1.5996584934171769</v>
      </c>
      <c r="U5">
        <f t="shared" si="0"/>
        <v>2.1392840440222392</v>
      </c>
      <c r="V5">
        <f t="shared" si="0"/>
        <v>3.3955134803904152</v>
      </c>
      <c r="W5">
        <f t="shared" si="0"/>
        <v>1.9584614684962403</v>
      </c>
      <c r="X5">
        <f t="shared" si="0"/>
        <v>3.7514565675625149</v>
      </c>
      <c r="Y5">
        <f t="shared" si="0"/>
        <v>2.253647207025776</v>
      </c>
      <c r="Z5">
        <f t="shared" si="0"/>
        <v>2.7870941917396488</v>
      </c>
      <c r="AA5">
        <f t="shared" si="0"/>
        <v>2.7851397747785525</v>
      </c>
      <c r="AB5">
        <f t="shared" si="0"/>
        <v>2.3362313064198763</v>
      </c>
      <c r="AC5">
        <f t="shared" si="0"/>
        <v>1.6141645604029307</v>
      </c>
      <c r="AD5">
        <f t="shared" si="0"/>
        <v>1.7028436373007882</v>
      </c>
      <c r="AE5">
        <f t="shared" si="0"/>
        <v>1.8746552326397146</v>
      </c>
      <c r="AF5">
        <f t="shared" si="0"/>
        <v>1.8911149793506647</v>
      </c>
      <c r="AG5">
        <f t="shared" si="0"/>
        <v>2.0430609913410236</v>
      </c>
      <c r="AH5">
        <f t="shared" si="0"/>
        <v>1.5253631350654293</v>
      </c>
      <c r="AI5">
        <f t="shared" si="0"/>
        <v>0.99682224320132229</v>
      </c>
      <c r="AJ5">
        <f t="shared" si="0"/>
        <v>1.4150134119331415</v>
      </c>
      <c r="AK5">
        <f t="shared" si="0"/>
        <v>1.0806885674914293</v>
      </c>
      <c r="AL5">
        <f t="shared" si="0"/>
        <v>0.8104344716716716</v>
      </c>
      <c r="AM5">
        <f t="shared" si="0"/>
        <v>0.78817178960683665</v>
      </c>
      <c r="AN5">
        <f t="shared" si="0"/>
        <v>0.48067141421668064</v>
      </c>
      <c r="AO5">
        <f t="shared" si="0"/>
        <v>0.84450012080963632</v>
      </c>
      <c r="AP5">
        <f t="shared" si="0"/>
        <v>1.091357718384647</v>
      </c>
      <c r="AQ5">
        <f t="shared" si="0"/>
        <v>1.2365411452283812</v>
      </c>
      <c r="AR5">
        <f t="shared" si="0"/>
        <v>1.1768426038114359</v>
      </c>
      <c r="AS5">
        <f t="shared" si="0"/>
        <v>0.65528143582558296</v>
      </c>
      <c r="AT5">
        <f t="shared" si="0"/>
        <v>0.79776730282973785</v>
      </c>
      <c r="AU5">
        <f t="shared" si="0"/>
        <v>0.8529933483801051</v>
      </c>
      <c r="AV5">
        <f t="shared" si="0"/>
        <v>1.7641448721468467</v>
      </c>
      <c r="AW5">
        <f t="shared" si="0"/>
        <v>2.6209318107015656</v>
      </c>
    </row>
    <row r="6" spans="3:49" x14ac:dyDescent="0.35">
      <c r="G6" t="s">
        <v>6</v>
      </c>
      <c r="H6">
        <f>$E$4+H5</f>
        <v>0.10058295661906089</v>
      </c>
      <c r="I6">
        <f t="shared" ref="I6:AV6" si="1">$E$4+I5</f>
        <v>0.19476548192927234</v>
      </c>
      <c r="J6">
        <f t="shared" si="1"/>
        <v>0.44499717847548581</v>
      </c>
      <c r="K6">
        <f t="shared" si="1"/>
        <v>0.32676396364969351</v>
      </c>
      <c r="L6">
        <f t="shared" si="1"/>
        <v>0.42882311282878732</v>
      </c>
      <c r="M6">
        <f t="shared" si="1"/>
        <v>0.39901723932981942</v>
      </c>
      <c r="N6">
        <f t="shared" si="1"/>
        <v>0.38278005059792158</v>
      </c>
      <c r="O6">
        <f t="shared" si="1"/>
        <v>0.65148228063249103</v>
      </c>
      <c r="P6">
        <f t="shared" si="1"/>
        <v>0.8367889508115971</v>
      </c>
      <c r="Q6">
        <f t="shared" si="1"/>
        <v>1.3649838688090483</v>
      </c>
      <c r="R6">
        <f t="shared" si="1"/>
        <v>0.85984040710651377</v>
      </c>
      <c r="S6">
        <f t="shared" si="1"/>
        <v>0.94194034992087516</v>
      </c>
      <c r="T6">
        <f t="shared" si="1"/>
        <v>1.6646163448121112</v>
      </c>
      <c r="U6">
        <f t="shared" si="1"/>
        <v>2.2042418954171734</v>
      </c>
      <c r="V6">
        <f t="shared" si="1"/>
        <v>3.4604713317853495</v>
      </c>
      <c r="W6">
        <f t="shared" si="1"/>
        <v>2.0234193198911745</v>
      </c>
      <c r="X6">
        <f t="shared" si="1"/>
        <v>3.8164144189574492</v>
      </c>
      <c r="Y6">
        <f t="shared" si="1"/>
        <v>2.3186050584207103</v>
      </c>
      <c r="Z6">
        <f t="shared" si="1"/>
        <v>2.852052043134583</v>
      </c>
      <c r="AA6">
        <f t="shared" si="1"/>
        <v>2.8500976261734867</v>
      </c>
      <c r="AB6">
        <f t="shared" si="1"/>
        <v>2.4011891578148106</v>
      </c>
      <c r="AC6">
        <f t="shared" si="1"/>
        <v>1.6791224117978649</v>
      </c>
      <c r="AD6">
        <f t="shared" si="1"/>
        <v>1.7678014886957225</v>
      </c>
      <c r="AE6">
        <f t="shared" si="1"/>
        <v>1.9396130840346488</v>
      </c>
      <c r="AF6">
        <f t="shared" si="1"/>
        <v>1.956072830745599</v>
      </c>
      <c r="AG6">
        <f t="shared" si="1"/>
        <v>2.1080188427359579</v>
      </c>
      <c r="AH6">
        <f t="shared" si="1"/>
        <v>1.5903209864603636</v>
      </c>
      <c r="AI6">
        <f t="shared" si="1"/>
        <v>1.0617800945962566</v>
      </c>
      <c r="AJ6">
        <f t="shared" si="1"/>
        <v>1.4799712633280757</v>
      </c>
      <c r="AK6">
        <f t="shared" si="1"/>
        <v>1.1456464188863635</v>
      </c>
      <c r="AL6">
        <f t="shared" si="1"/>
        <v>0.87539232306660586</v>
      </c>
      <c r="AM6">
        <f t="shared" si="1"/>
        <v>0.85312964100177091</v>
      </c>
      <c r="AN6">
        <f t="shared" si="1"/>
        <v>0.54562926561161496</v>
      </c>
      <c r="AO6">
        <f t="shared" si="1"/>
        <v>0.90945797220457059</v>
      </c>
      <c r="AP6">
        <f t="shared" si="1"/>
        <v>1.1563155697795813</v>
      </c>
      <c r="AQ6">
        <f t="shared" si="1"/>
        <v>1.3014989966233155</v>
      </c>
      <c r="AR6">
        <f t="shared" si="1"/>
        <v>1.2418004552063702</v>
      </c>
      <c r="AS6">
        <f t="shared" si="1"/>
        <v>0.72023928722051722</v>
      </c>
      <c r="AT6">
        <f t="shared" si="1"/>
        <v>0.86272515422467211</v>
      </c>
      <c r="AU6">
        <f t="shared" si="1"/>
        <v>0.91795119977503936</v>
      </c>
      <c r="AV6">
        <f t="shared" si="1"/>
        <v>1.8291027235417809</v>
      </c>
      <c r="AW6">
        <f>$E$4+AW5</f>
        <v>2.6858896620964998</v>
      </c>
    </row>
    <row r="7" spans="3:49" x14ac:dyDescent="0.35">
      <c r="C7" t="s">
        <v>0</v>
      </c>
      <c r="H7">
        <v>1</v>
      </c>
      <c r="I7">
        <v>2</v>
      </c>
      <c r="J7">
        <v>3</v>
      </c>
      <c r="K7">
        <v>4</v>
      </c>
      <c r="L7">
        <v>5</v>
      </c>
      <c r="M7">
        <v>6</v>
      </c>
      <c r="N7">
        <v>7</v>
      </c>
      <c r="O7">
        <v>8</v>
      </c>
      <c r="P7">
        <v>9</v>
      </c>
      <c r="Q7">
        <v>10</v>
      </c>
      <c r="R7">
        <v>11</v>
      </c>
      <c r="S7">
        <v>12</v>
      </c>
      <c r="T7">
        <v>13</v>
      </c>
      <c r="U7">
        <v>14</v>
      </c>
      <c r="V7">
        <v>15</v>
      </c>
      <c r="W7">
        <v>16</v>
      </c>
      <c r="X7">
        <v>17</v>
      </c>
      <c r="Y7">
        <v>18</v>
      </c>
      <c r="Z7">
        <v>19</v>
      </c>
      <c r="AA7">
        <v>20</v>
      </c>
      <c r="AB7">
        <v>21</v>
      </c>
      <c r="AC7">
        <v>22</v>
      </c>
      <c r="AD7">
        <v>23</v>
      </c>
      <c r="AE7">
        <v>24</v>
      </c>
      <c r="AF7">
        <v>25</v>
      </c>
      <c r="AG7">
        <v>26</v>
      </c>
      <c r="AH7">
        <v>27</v>
      </c>
      <c r="AI7">
        <v>28</v>
      </c>
      <c r="AJ7">
        <v>29</v>
      </c>
      <c r="AK7">
        <v>30</v>
      </c>
      <c r="AL7">
        <v>31</v>
      </c>
      <c r="AM7">
        <v>32</v>
      </c>
      <c r="AN7">
        <v>33</v>
      </c>
      <c r="AO7">
        <v>34</v>
      </c>
      <c r="AP7">
        <v>35</v>
      </c>
      <c r="AQ7">
        <v>36</v>
      </c>
      <c r="AR7">
        <v>37</v>
      </c>
      <c r="AS7">
        <v>38</v>
      </c>
      <c r="AT7">
        <v>39</v>
      </c>
      <c r="AU7">
        <v>40</v>
      </c>
      <c r="AV7">
        <v>41</v>
      </c>
      <c r="AW7">
        <v>42</v>
      </c>
    </row>
    <row r="8" spans="3:49" x14ac:dyDescent="0.35">
      <c r="C8" t="s">
        <v>3</v>
      </c>
      <c r="D8">
        <f>LN(E8)</f>
        <v>-1.6094379124341003</v>
      </c>
      <c r="E8">
        <v>0.2</v>
      </c>
    </row>
    <row r="9" spans="3:49" x14ac:dyDescent="0.35">
      <c r="C9" t="s">
        <v>4</v>
      </c>
      <c r="G9" t="s">
        <v>8</v>
      </c>
      <c r="H9">
        <v>-7.0632605034158402</v>
      </c>
      <c r="I9">
        <v>-5.1291068025690096</v>
      </c>
      <c r="J9">
        <v>-3.7227865694301201</v>
      </c>
      <c r="K9">
        <v>-3.4236283577237399</v>
      </c>
      <c r="L9">
        <v>-1.9566164998314299</v>
      </c>
      <c r="M9">
        <v>0.730427783531025</v>
      </c>
      <c r="N9">
        <v>0.495715039994232</v>
      </c>
      <c r="O9">
        <v>0.30203073494275301</v>
      </c>
      <c r="P9">
        <v>0.28842412833534897</v>
      </c>
      <c r="Q9">
        <v>-4.3675050133887998E-2</v>
      </c>
      <c r="R9">
        <v>-1.53259872733245</v>
      </c>
      <c r="S9">
        <v>-2.2337891097224198</v>
      </c>
      <c r="T9">
        <v>-1.1797985794174199</v>
      </c>
      <c r="U9">
        <v>-2.0962634829176299</v>
      </c>
      <c r="V9">
        <v>-1.9077068390659799</v>
      </c>
      <c r="W9">
        <v>-0.40731312255428997</v>
      </c>
      <c r="X9">
        <v>-7.1385952527774896E-2</v>
      </c>
      <c r="Y9">
        <v>-4.0697177258877497</v>
      </c>
      <c r="Z9">
        <v>1.1869533703159301</v>
      </c>
      <c r="AA9">
        <v>1.3621186030315799</v>
      </c>
      <c r="AB9">
        <v>1.8655392848636401</v>
      </c>
      <c r="AC9">
        <v>1.7378832702443201</v>
      </c>
      <c r="AD9">
        <v>0.70276544082345704</v>
      </c>
      <c r="AE9">
        <v>1.64172315871903</v>
      </c>
      <c r="AF9">
        <v>0.77576315339642798</v>
      </c>
      <c r="AG9">
        <v>1.9352264574973801</v>
      </c>
      <c r="AH9">
        <v>1.7093823587708401</v>
      </c>
      <c r="AI9">
        <v>1.5624174376250699</v>
      </c>
      <c r="AJ9">
        <v>1.1340632509886801</v>
      </c>
      <c r="AK9">
        <v>0.95454439971878602</v>
      </c>
      <c r="AL9">
        <v>0.74047683099120798</v>
      </c>
      <c r="AM9">
        <v>1.64528065052054</v>
      </c>
      <c r="AN9">
        <v>0.729875007799899</v>
      </c>
      <c r="AO9">
        <v>1.79480323840959</v>
      </c>
      <c r="AP9">
        <v>1.0822983905992301</v>
      </c>
      <c r="AQ9">
        <v>1.26683125865962</v>
      </c>
      <c r="AR9">
        <v>1.5665947145374199</v>
      </c>
      <c r="AS9">
        <v>1.5049397814499299</v>
      </c>
      <c r="AT9">
        <v>0.94493908111894298</v>
      </c>
      <c r="AU9">
        <v>1.20819923729594</v>
      </c>
      <c r="AV9">
        <v>1.851413693954</v>
      </c>
      <c r="AW9">
        <v>2.1170175485973801</v>
      </c>
    </row>
    <row r="10" spans="3:49" x14ac:dyDescent="0.35">
      <c r="H10">
        <f>EXP(H9)</f>
        <v>8.5598260489287692E-4</v>
      </c>
      <c r="I10">
        <f t="shared" ref="I10:AW10" si="2">EXP(I9)</f>
        <v>5.921847491120946E-3</v>
      </c>
      <c r="J10">
        <f t="shared" si="2"/>
        <v>2.416653221239522E-2</v>
      </c>
      <c r="K10">
        <f t="shared" si="2"/>
        <v>3.2593957592124127E-2</v>
      </c>
      <c r="L10">
        <f t="shared" si="2"/>
        <v>0.14133582260086391</v>
      </c>
      <c r="M10">
        <f t="shared" si="2"/>
        <v>2.0759684828792904</v>
      </c>
      <c r="N10">
        <f t="shared" si="2"/>
        <v>1.6416716803871814</v>
      </c>
      <c r="O10">
        <f t="shared" si="2"/>
        <v>1.3526027982402011</v>
      </c>
      <c r="P10">
        <f t="shared" si="2"/>
        <v>1.3343231083668663</v>
      </c>
      <c r="Q10">
        <f t="shared" si="2"/>
        <v>0.95726497006241584</v>
      </c>
      <c r="R10">
        <f t="shared" si="2"/>
        <v>0.21597368070016809</v>
      </c>
      <c r="S10">
        <f t="shared" si="2"/>
        <v>0.1071217640534879</v>
      </c>
      <c r="T10">
        <f t="shared" si="2"/>
        <v>0.30734063709728104</v>
      </c>
      <c r="U10">
        <f t="shared" si="2"/>
        <v>0.12291484469607986</v>
      </c>
      <c r="V10">
        <f t="shared" si="2"/>
        <v>0.14842034839768317</v>
      </c>
      <c r="W10">
        <f t="shared" si="2"/>
        <v>0.66543579472078673</v>
      </c>
      <c r="X10">
        <f t="shared" si="2"/>
        <v>0.93110246142185593</v>
      </c>
      <c r="Y10">
        <f t="shared" si="2"/>
        <v>1.7082209692581164E-2</v>
      </c>
      <c r="Z10">
        <f t="shared" si="2"/>
        <v>3.2770819279878705</v>
      </c>
      <c r="AA10">
        <f t="shared" si="2"/>
        <v>3.9044565389048347</v>
      </c>
      <c r="AB10">
        <f t="shared" si="2"/>
        <v>6.4594184134479411</v>
      </c>
      <c r="AC10">
        <f t="shared" si="2"/>
        <v>5.6852964409213493</v>
      </c>
      <c r="AD10">
        <f t="shared" si="2"/>
        <v>2.0193293287701524</v>
      </c>
      <c r="AE10">
        <f t="shared" si="2"/>
        <v>5.1640603454862397</v>
      </c>
      <c r="AF10">
        <f t="shared" si="2"/>
        <v>2.1722492541781833</v>
      </c>
      <c r="AG10">
        <f t="shared" si="2"/>
        <v>6.9256122346230793</v>
      </c>
      <c r="AH10">
        <f t="shared" si="2"/>
        <v>5.5255476174399139</v>
      </c>
      <c r="AI10">
        <f t="shared" si="2"/>
        <v>4.7703393151654545</v>
      </c>
      <c r="AJ10">
        <f t="shared" si="2"/>
        <v>3.1082605187640229</v>
      </c>
      <c r="AK10">
        <f t="shared" si="2"/>
        <v>2.5974868975353331</v>
      </c>
      <c r="AL10">
        <f t="shared" si="2"/>
        <v>2.096935159815243</v>
      </c>
      <c r="AM10">
        <f t="shared" si="2"/>
        <v>5.1824641641352862</v>
      </c>
      <c r="AN10">
        <f t="shared" si="2"/>
        <v>2.0748212549924512</v>
      </c>
      <c r="AO10">
        <f t="shared" si="2"/>
        <v>6.0182904369022658</v>
      </c>
      <c r="AP10">
        <f t="shared" si="2"/>
        <v>2.9514553586067924</v>
      </c>
      <c r="AQ10">
        <f t="shared" si="2"/>
        <v>3.5495869998873286</v>
      </c>
      <c r="AR10">
        <f t="shared" si="2"/>
        <v>4.7903080218221907</v>
      </c>
      <c r="AS10">
        <f t="shared" si="2"/>
        <v>4.5038824048540587</v>
      </c>
      <c r="AT10">
        <f t="shared" si="2"/>
        <v>2.5726566504500337</v>
      </c>
      <c r="AU10">
        <f t="shared" si="2"/>
        <v>3.3474512564458143</v>
      </c>
      <c r="AV10">
        <f t="shared" si="2"/>
        <v>6.3688167191522176</v>
      </c>
      <c r="AW10">
        <f t="shared" si="2"/>
        <v>8.3063272909956698</v>
      </c>
    </row>
    <row r="11" spans="3:49" x14ac:dyDescent="0.35">
      <c r="H11">
        <f>$E$5+H10</f>
        <v>0.79665070681884154</v>
      </c>
      <c r="I11">
        <f t="shared" ref="I11:AW11" si="3">$E$5+I10</f>
        <v>0.8017165717050696</v>
      </c>
      <c r="J11">
        <f t="shared" si="3"/>
        <v>0.81996125642634388</v>
      </c>
      <c r="K11">
        <f t="shared" si="3"/>
        <v>0.82838868180607284</v>
      </c>
      <c r="L11">
        <f t="shared" si="3"/>
        <v>0.93713054681481256</v>
      </c>
      <c r="M11">
        <f t="shared" si="3"/>
        <v>2.8717632070932391</v>
      </c>
      <c r="N11">
        <f t="shared" si="3"/>
        <v>2.4374664046011301</v>
      </c>
      <c r="O11">
        <f t="shared" si="3"/>
        <v>2.1483975224541498</v>
      </c>
      <c r="P11">
        <f t="shared" si="3"/>
        <v>2.1301178325808152</v>
      </c>
      <c r="Q11">
        <f t="shared" si="3"/>
        <v>1.7530596942763645</v>
      </c>
      <c r="R11">
        <f t="shared" si="3"/>
        <v>1.0117684049141169</v>
      </c>
      <c r="S11">
        <f t="shared" si="3"/>
        <v>0.90291648826743665</v>
      </c>
      <c r="T11">
        <f t="shared" si="3"/>
        <v>1.1031353613112298</v>
      </c>
      <c r="U11">
        <f t="shared" si="3"/>
        <v>0.91870956891002853</v>
      </c>
      <c r="V11">
        <f t="shared" si="3"/>
        <v>0.94421507261163184</v>
      </c>
      <c r="W11">
        <f t="shared" si="3"/>
        <v>1.4612305189347354</v>
      </c>
      <c r="X11">
        <f t="shared" si="3"/>
        <v>1.7268971856358046</v>
      </c>
      <c r="Y11">
        <f t="shared" si="3"/>
        <v>0.81287693390652982</v>
      </c>
      <c r="Z11">
        <f t="shared" si="3"/>
        <v>4.0728766522018187</v>
      </c>
      <c r="AA11">
        <f t="shared" si="3"/>
        <v>4.7002512631187834</v>
      </c>
      <c r="AB11">
        <f t="shared" si="3"/>
        <v>7.2552131376618902</v>
      </c>
      <c r="AC11">
        <f t="shared" si="3"/>
        <v>6.4810911651352985</v>
      </c>
      <c r="AD11">
        <f t="shared" si="3"/>
        <v>2.8151240529841011</v>
      </c>
      <c r="AE11">
        <f t="shared" si="3"/>
        <v>5.959855069700188</v>
      </c>
      <c r="AF11">
        <f t="shared" si="3"/>
        <v>2.968043978392132</v>
      </c>
      <c r="AG11">
        <f t="shared" si="3"/>
        <v>7.7214069588370275</v>
      </c>
      <c r="AH11">
        <f t="shared" si="3"/>
        <v>6.3213423416538621</v>
      </c>
      <c r="AI11">
        <f t="shared" si="3"/>
        <v>5.5661340393794028</v>
      </c>
      <c r="AJ11">
        <f t="shared" si="3"/>
        <v>3.9040552429779716</v>
      </c>
      <c r="AK11">
        <f t="shared" si="3"/>
        <v>3.3932816217492818</v>
      </c>
      <c r="AL11">
        <f t="shared" si="3"/>
        <v>2.8927298840291917</v>
      </c>
      <c r="AM11">
        <f t="shared" si="3"/>
        <v>5.9782588883492345</v>
      </c>
      <c r="AN11">
        <f t="shared" si="3"/>
        <v>2.8706159792063999</v>
      </c>
      <c r="AO11">
        <f t="shared" si="3"/>
        <v>6.8140851611162141</v>
      </c>
      <c r="AP11">
        <f t="shared" si="3"/>
        <v>3.7472500828207411</v>
      </c>
      <c r="AQ11">
        <f t="shared" si="3"/>
        <v>4.3453817241012773</v>
      </c>
      <c r="AR11">
        <f t="shared" si="3"/>
        <v>5.5861027460361399</v>
      </c>
      <c r="AS11">
        <f t="shared" si="3"/>
        <v>5.2996771290680069</v>
      </c>
      <c r="AT11">
        <f t="shared" si="3"/>
        <v>3.3684513746639824</v>
      </c>
      <c r="AU11">
        <f t="shared" si="3"/>
        <v>4.1432459806597635</v>
      </c>
      <c r="AV11">
        <f t="shared" si="3"/>
        <v>7.1646114433661658</v>
      </c>
      <c r="AW11">
        <f t="shared" si="3"/>
        <v>9.1021220152096181</v>
      </c>
    </row>
    <row r="13" spans="3:49" x14ac:dyDescent="0.35">
      <c r="G13" t="s">
        <v>5</v>
      </c>
      <c r="H13">
        <v>-5.47378675656193</v>
      </c>
      <c r="I13">
        <v>-2.9028733741625099</v>
      </c>
      <c r="J13">
        <v>-0.192456687291888</v>
      </c>
      <c r="K13">
        <v>-0.91330055256133102</v>
      </c>
      <c r="L13">
        <v>-0.69684107163662601</v>
      </c>
      <c r="M13">
        <v>-0.87225929450469597</v>
      </c>
      <c r="N13">
        <v>-0.99793735421965901</v>
      </c>
      <c r="O13">
        <v>-0.41382645969306198</v>
      </c>
      <c r="P13">
        <v>-0.14636483251769999</v>
      </c>
      <c r="Q13">
        <v>0.45873925788542702</v>
      </c>
      <c r="R13">
        <v>-0.216389500440444</v>
      </c>
      <c r="S13">
        <v>-3.8526320645731998E-2</v>
      </c>
      <c r="T13">
        <v>0.58583074771574295</v>
      </c>
      <c r="U13">
        <v>0.86174862105918304</v>
      </c>
      <c r="V13">
        <v>1.53993025370661</v>
      </c>
      <c r="W13">
        <v>0.65360619544474396</v>
      </c>
      <c r="X13">
        <v>1.2087061598125499</v>
      </c>
      <c r="Y13">
        <v>0.76696175994172899</v>
      </c>
      <c r="Z13">
        <v>0.92833064975375101</v>
      </c>
      <c r="AA13">
        <v>0.915334435318783</v>
      </c>
      <c r="AB13">
        <v>0.84588105190026996</v>
      </c>
      <c r="AC13">
        <v>0.43907560871724499</v>
      </c>
      <c r="AD13">
        <v>0.51932999975221095</v>
      </c>
      <c r="AE13">
        <v>0.59698147555659897</v>
      </c>
      <c r="AF13">
        <v>0.57603798520516603</v>
      </c>
      <c r="AG13">
        <v>0.59907609415307905</v>
      </c>
      <c r="AH13">
        <v>0.44282267785526702</v>
      </c>
      <c r="AI13">
        <v>3.0849485412587502E-3</v>
      </c>
      <c r="AJ13">
        <v>0.27549965938689402</v>
      </c>
      <c r="AK13">
        <v>7.8056943366143702E-2</v>
      </c>
      <c r="AL13">
        <v>-9.9616754101251606E-2</v>
      </c>
      <c r="AM13">
        <v>5.9267255902954504E-3</v>
      </c>
      <c r="AN13">
        <v>-0.35017037847759103</v>
      </c>
      <c r="AO13">
        <v>-3.6571482086860702E-2</v>
      </c>
      <c r="AP13">
        <v>0.217223400096659</v>
      </c>
      <c r="AQ13">
        <v>0.43773562242917302</v>
      </c>
      <c r="AR13">
        <v>0.285932535469966</v>
      </c>
      <c r="AS13">
        <v>-0.43214657128338801</v>
      </c>
      <c r="AT13">
        <v>-0.42215148928488999</v>
      </c>
      <c r="AU13">
        <v>-0.29317668562528898</v>
      </c>
      <c r="AV13">
        <v>0.32818387653626502</v>
      </c>
      <c r="AW13">
        <v>0.92835887822471297</v>
      </c>
    </row>
    <row r="14" spans="3:49" x14ac:dyDescent="0.35">
      <c r="G14" t="s">
        <v>13</v>
      </c>
      <c r="H14">
        <f>EXP(H13)</f>
        <v>4.1953154024480764E-3</v>
      </c>
      <c r="I14">
        <f t="shared" ref="I14:AW14" si="4">EXP(I13)</f>
        <v>5.48653446836894E-2</v>
      </c>
      <c r="J14">
        <f t="shared" si="4"/>
        <v>0.82493004738418918</v>
      </c>
      <c r="K14">
        <f t="shared" si="4"/>
        <v>0.40119786174330796</v>
      </c>
      <c r="L14">
        <f t="shared" si="4"/>
        <v>0.49815646147314713</v>
      </c>
      <c r="M14">
        <f t="shared" si="4"/>
        <v>0.41800608276048012</v>
      </c>
      <c r="N14">
        <f t="shared" si="4"/>
        <v>0.36863902925972525</v>
      </c>
      <c r="O14">
        <f t="shared" si="4"/>
        <v>0.6611156715278883</v>
      </c>
      <c r="P14">
        <f t="shared" si="4"/>
        <v>0.863842487857997</v>
      </c>
      <c r="Q14">
        <f t="shared" si="4"/>
        <v>1.5820781345996855</v>
      </c>
      <c r="R14">
        <f t="shared" si="4"/>
        <v>0.80542152872987438</v>
      </c>
      <c r="S14">
        <f t="shared" si="4"/>
        <v>0.9622063785133077</v>
      </c>
      <c r="T14">
        <f t="shared" si="4"/>
        <v>1.7964827898716822</v>
      </c>
      <c r="U14">
        <f t="shared" si="4"/>
        <v>2.3672965812572277</v>
      </c>
      <c r="V14">
        <f t="shared" si="4"/>
        <v>4.6642649444518334</v>
      </c>
      <c r="W14">
        <f t="shared" si="4"/>
        <v>1.9224611140762884</v>
      </c>
      <c r="X14">
        <f t="shared" si="4"/>
        <v>3.3491485850316529</v>
      </c>
      <c r="Y14">
        <f t="shared" si="4"/>
        <v>2.1532143236444878</v>
      </c>
      <c r="Z14">
        <f t="shared" si="4"/>
        <v>2.5302817236304866</v>
      </c>
      <c r="AA14">
        <f t="shared" si="4"/>
        <v>2.4976104013761442</v>
      </c>
      <c r="AB14">
        <f t="shared" si="4"/>
        <v>2.3300297876622067</v>
      </c>
      <c r="AC14">
        <f t="shared" si="4"/>
        <v>1.5512725726830807</v>
      </c>
      <c r="AD14">
        <f t="shared" si="4"/>
        <v>1.6809010682038841</v>
      </c>
      <c r="AE14">
        <f t="shared" si="4"/>
        <v>1.8166269830151287</v>
      </c>
      <c r="AF14">
        <f t="shared" si="4"/>
        <v>1.7789761197919696</v>
      </c>
      <c r="AG14">
        <f t="shared" si="4"/>
        <v>1.8204361116197361</v>
      </c>
      <c r="AH14">
        <f t="shared" si="4"/>
        <v>1.5570962022221995</v>
      </c>
      <c r="AI14">
        <f t="shared" si="4"/>
        <v>1.003089711891981</v>
      </c>
      <c r="AJ14">
        <f t="shared" si="4"/>
        <v>1.3171886561470252</v>
      </c>
      <c r="AK14">
        <f t="shared" si="4"/>
        <v>1.0811842231863107</v>
      </c>
      <c r="AL14">
        <f t="shared" si="4"/>
        <v>0.90518425972403793</v>
      </c>
      <c r="AM14">
        <f t="shared" si="4"/>
        <v>1.0059443233769803</v>
      </c>
      <c r="AN14">
        <f t="shared" si="4"/>
        <v>0.70456803626236364</v>
      </c>
      <c r="AO14">
        <f t="shared" si="4"/>
        <v>0.96408917632692381</v>
      </c>
      <c r="AP14">
        <f t="shared" si="4"/>
        <v>1.2426216729337822</v>
      </c>
      <c r="AQ14">
        <f t="shared" si="4"/>
        <v>1.5491952807887763</v>
      </c>
      <c r="AR14">
        <f t="shared" si="4"/>
        <v>1.331002656754507</v>
      </c>
      <c r="AS14">
        <f t="shared" si="4"/>
        <v>0.64911422820680675</v>
      </c>
      <c r="AT14">
        <f t="shared" si="4"/>
        <v>0.65563471023657738</v>
      </c>
      <c r="AU14">
        <f t="shared" si="4"/>
        <v>0.74589034095271589</v>
      </c>
      <c r="AV14">
        <f t="shared" si="4"/>
        <v>1.3884442511384942</v>
      </c>
      <c r="AW14">
        <f t="shared" si="4"/>
        <v>2.5303531506227803</v>
      </c>
    </row>
    <row r="15" spans="3:49" x14ac:dyDescent="0.35">
      <c r="G15" t="s">
        <v>7</v>
      </c>
      <c r="H15">
        <f>$E$8+H14</f>
        <v>0.20419531540244809</v>
      </c>
      <c r="I15">
        <f t="shared" ref="I15:AW15" si="5">$E$8+I14</f>
        <v>0.25486534468368943</v>
      </c>
      <c r="J15">
        <f t="shared" si="5"/>
        <v>1.0249300473841891</v>
      </c>
      <c r="K15">
        <f t="shared" si="5"/>
        <v>0.60119786174330803</v>
      </c>
      <c r="L15">
        <f t="shared" si="5"/>
        <v>0.69815646147314714</v>
      </c>
      <c r="M15">
        <f t="shared" si="5"/>
        <v>0.61800608276048008</v>
      </c>
      <c r="N15">
        <f t="shared" si="5"/>
        <v>0.5686390292597252</v>
      </c>
      <c r="O15">
        <f t="shared" si="5"/>
        <v>0.86111567152788826</v>
      </c>
      <c r="P15">
        <f t="shared" si="5"/>
        <v>1.0638424878579971</v>
      </c>
      <c r="Q15">
        <f t="shared" si="5"/>
        <v>1.7820781345996854</v>
      </c>
      <c r="R15">
        <f t="shared" si="5"/>
        <v>1.0054215287298744</v>
      </c>
      <c r="S15">
        <f t="shared" si="5"/>
        <v>1.1622063785133077</v>
      </c>
      <c r="T15">
        <f t="shared" si="5"/>
        <v>1.9964827898716822</v>
      </c>
      <c r="U15">
        <f t="shared" si="5"/>
        <v>2.5672965812572279</v>
      </c>
      <c r="V15">
        <f t="shared" si="5"/>
        <v>4.8642649444518335</v>
      </c>
      <c r="W15">
        <f t="shared" si="5"/>
        <v>2.1224611140762883</v>
      </c>
      <c r="X15">
        <f t="shared" si="5"/>
        <v>3.5491485850316531</v>
      </c>
      <c r="Y15">
        <f t="shared" si="5"/>
        <v>2.353214323644488</v>
      </c>
      <c r="Z15">
        <f t="shared" si="5"/>
        <v>2.7302817236304868</v>
      </c>
      <c r="AA15">
        <f t="shared" si="5"/>
        <v>2.6976104013761444</v>
      </c>
      <c r="AB15">
        <f t="shared" si="5"/>
        <v>2.5300297876622069</v>
      </c>
      <c r="AC15">
        <f t="shared" si="5"/>
        <v>1.7512725726830807</v>
      </c>
      <c r="AD15">
        <f t="shared" si="5"/>
        <v>1.880901068203884</v>
      </c>
      <c r="AE15">
        <f t="shared" si="5"/>
        <v>2.0166269830151289</v>
      </c>
      <c r="AF15">
        <f t="shared" si="5"/>
        <v>1.9789761197919695</v>
      </c>
      <c r="AG15">
        <f t="shared" si="5"/>
        <v>2.0204361116197362</v>
      </c>
      <c r="AH15">
        <f t="shared" si="5"/>
        <v>1.7570962022221994</v>
      </c>
      <c r="AI15">
        <f t="shared" si="5"/>
        <v>1.203089711891981</v>
      </c>
      <c r="AJ15">
        <f t="shared" si="5"/>
        <v>1.5171886561470251</v>
      </c>
      <c r="AK15">
        <f t="shared" si="5"/>
        <v>1.2811842231863106</v>
      </c>
      <c r="AL15">
        <f t="shared" si="5"/>
        <v>1.105184259724038</v>
      </c>
      <c r="AM15">
        <f t="shared" si="5"/>
        <v>1.2059443233769802</v>
      </c>
      <c r="AN15">
        <f t="shared" si="5"/>
        <v>0.9045680362623636</v>
      </c>
      <c r="AO15">
        <f t="shared" si="5"/>
        <v>1.1640891763269239</v>
      </c>
      <c r="AP15">
        <f t="shared" si="5"/>
        <v>1.4426216729337822</v>
      </c>
      <c r="AQ15">
        <f t="shared" si="5"/>
        <v>1.7491952807887763</v>
      </c>
      <c r="AR15">
        <f t="shared" si="5"/>
        <v>1.531002656754507</v>
      </c>
      <c r="AS15">
        <f t="shared" si="5"/>
        <v>0.84911422820680671</v>
      </c>
      <c r="AT15">
        <f t="shared" si="5"/>
        <v>0.85563471023657733</v>
      </c>
      <c r="AU15">
        <f t="shared" si="5"/>
        <v>0.94589034095271596</v>
      </c>
      <c r="AV15">
        <f t="shared" si="5"/>
        <v>1.5884442511384942</v>
      </c>
      <c r="AW15">
        <f t="shared" si="5"/>
        <v>2.7303531506227805</v>
      </c>
    </row>
    <row r="17" spans="7:49" x14ac:dyDescent="0.35">
      <c r="H17">
        <v>-8.6079307249438308</v>
      </c>
      <c r="I17">
        <v>-6.4962196223940003</v>
      </c>
      <c r="J17">
        <v>-3.5916815752471001</v>
      </c>
      <c r="K17">
        <v>-0.79318579064965899</v>
      </c>
      <c r="L17">
        <v>0.261612247056345</v>
      </c>
      <c r="M17">
        <v>0.90285495779234903</v>
      </c>
      <c r="N17">
        <v>0.53272478642756904</v>
      </c>
      <c r="O17">
        <v>0.69848403512425405</v>
      </c>
      <c r="P17">
        <v>0.833377520391682</v>
      </c>
      <c r="Q17">
        <v>0.79609528876455005</v>
      </c>
      <c r="R17">
        <v>-0.10838374440262299</v>
      </c>
      <c r="S17">
        <v>-0.45153740026645001</v>
      </c>
      <c r="T17">
        <v>0.10022147305648101</v>
      </c>
      <c r="U17">
        <v>-0.50678826445982295</v>
      </c>
      <c r="V17">
        <v>0.42464699624889701</v>
      </c>
      <c r="W17">
        <v>-0.39346828060281402</v>
      </c>
      <c r="X17">
        <v>1.8498372849737199</v>
      </c>
      <c r="Y17">
        <v>-0.767335911318342</v>
      </c>
      <c r="Z17">
        <v>1.11804448136932</v>
      </c>
      <c r="AA17">
        <v>1.08087817949303</v>
      </c>
      <c r="AB17">
        <v>1.5194422039158799</v>
      </c>
      <c r="AC17">
        <v>1.4086378121476599</v>
      </c>
      <c r="AD17">
        <v>0.32838766338946301</v>
      </c>
      <c r="AE17">
        <v>1.1231536975706</v>
      </c>
      <c r="AF17">
        <v>2.85069258143541E-2</v>
      </c>
      <c r="AG17">
        <v>1.40637694935475</v>
      </c>
      <c r="AH17">
        <v>1.51826923889907</v>
      </c>
      <c r="AI17">
        <v>1.29055952584663</v>
      </c>
      <c r="AJ17">
        <v>0.89630938953433703</v>
      </c>
      <c r="AK17">
        <v>0.74707684287974896</v>
      </c>
      <c r="AL17">
        <v>0.67250652075603901</v>
      </c>
      <c r="AM17">
        <v>1.38896904695505</v>
      </c>
      <c r="AN17">
        <v>0.17413563052700901</v>
      </c>
      <c r="AO17">
        <v>1.4853960347444799</v>
      </c>
      <c r="AP17">
        <v>0.78543808545439397</v>
      </c>
      <c r="AQ17">
        <v>1.0961685767647</v>
      </c>
      <c r="AR17">
        <v>1.28295541518922</v>
      </c>
      <c r="AS17">
        <v>1.2376086174270799</v>
      </c>
      <c r="AT17">
        <v>-0.27841551903276002</v>
      </c>
      <c r="AU17">
        <v>-1.5318248127605101</v>
      </c>
      <c r="AV17">
        <v>-1.0182218901884501</v>
      </c>
      <c r="AW17">
        <v>-2.4436818545572399</v>
      </c>
    </row>
    <row r="18" spans="7:49" x14ac:dyDescent="0.35">
      <c r="G18" t="s">
        <v>9</v>
      </c>
      <c r="H18">
        <f>EXP(H17)</f>
        <v>1.8265147577762404E-4</v>
      </c>
      <c r="I18">
        <f t="shared" ref="I18:AW18" si="6">EXP(I17)</f>
        <v>1.5091335174013685E-3</v>
      </c>
      <c r="J18">
        <f t="shared" si="6"/>
        <v>2.755196075192063E-2</v>
      </c>
      <c r="K18">
        <f t="shared" si="6"/>
        <v>0.45240124142825122</v>
      </c>
      <c r="L18">
        <f t="shared" si="6"/>
        <v>1.299022744868003</v>
      </c>
      <c r="M18">
        <f t="shared" si="6"/>
        <v>2.4666352076181028</v>
      </c>
      <c r="N18">
        <f t="shared" si="6"/>
        <v>1.7035678488749886</v>
      </c>
      <c r="O18">
        <f t="shared" si="6"/>
        <v>2.0107022418810594</v>
      </c>
      <c r="P18">
        <f t="shared" si="6"/>
        <v>2.3010775664951311</v>
      </c>
      <c r="Q18">
        <f t="shared" si="6"/>
        <v>2.2168677779180679</v>
      </c>
      <c r="R18">
        <f t="shared" si="6"/>
        <v>0.89728320294842656</v>
      </c>
      <c r="S18">
        <f t="shared" si="6"/>
        <v>0.6366486150943691</v>
      </c>
      <c r="T18">
        <f t="shared" si="6"/>
        <v>1.1054157107632996</v>
      </c>
      <c r="U18">
        <f t="shared" si="6"/>
        <v>0.60242731225240331</v>
      </c>
      <c r="V18">
        <f t="shared" si="6"/>
        <v>1.529050563798765</v>
      </c>
      <c r="W18">
        <f t="shared" si="6"/>
        <v>0.67471271871816629</v>
      </c>
      <c r="X18">
        <f t="shared" si="6"/>
        <v>6.3587847685883716</v>
      </c>
      <c r="Y18">
        <f t="shared" si="6"/>
        <v>0.46424822073324201</v>
      </c>
      <c r="Z18">
        <f t="shared" si="6"/>
        <v>3.0588666800628093</v>
      </c>
      <c r="AA18">
        <f t="shared" si="6"/>
        <v>2.9472666440605582</v>
      </c>
      <c r="AB18">
        <f t="shared" si="6"/>
        <v>4.5696755369933673</v>
      </c>
      <c r="AC18">
        <f t="shared" si="6"/>
        <v>4.0903797417879018</v>
      </c>
      <c r="AD18">
        <f t="shared" si="6"/>
        <v>1.3887272266556405</v>
      </c>
      <c r="AE18">
        <f t="shared" si="6"/>
        <v>3.0745350838091725</v>
      </c>
      <c r="AF18">
        <f t="shared" si="6"/>
        <v>1.0289171368989229</v>
      </c>
      <c r="AG18">
        <f t="shared" si="6"/>
        <v>4.0811424005361143</v>
      </c>
      <c r="AH18">
        <f t="shared" si="6"/>
        <v>4.5643186098085868</v>
      </c>
      <c r="AI18">
        <f t="shared" si="6"/>
        <v>3.6348197624888585</v>
      </c>
      <c r="AJ18">
        <f t="shared" si="6"/>
        <v>2.4505424042278032</v>
      </c>
      <c r="AK18">
        <f t="shared" si="6"/>
        <v>2.1108207288551335</v>
      </c>
      <c r="AL18">
        <f t="shared" si="6"/>
        <v>1.9591418010655774</v>
      </c>
      <c r="AM18">
        <f t="shared" si="6"/>
        <v>4.0107130639941744</v>
      </c>
      <c r="AN18">
        <f t="shared" si="6"/>
        <v>1.1902169846303365</v>
      </c>
      <c r="AO18">
        <f t="shared" si="6"/>
        <v>4.4167142387527818</v>
      </c>
      <c r="AP18">
        <f t="shared" si="6"/>
        <v>2.1933676127369148</v>
      </c>
      <c r="AQ18">
        <f t="shared" si="6"/>
        <v>2.9926778145894355</v>
      </c>
      <c r="AR18">
        <f t="shared" si="6"/>
        <v>3.6072850121167406</v>
      </c>
      <c r="AS18">
        <f t="shared" si="6"/>
        <v>3.4473596438994143</v>
      </c>
      <c r="AT18">
        <f t="shared" si="6"/>
        <v>0.75698221563843882</v>
      </c>
      <c r="AU18">
        <f t="shared" si="6"/>
        <v>0.21614089057355046</v>
      </c>
      <c r="AV18">
        <f t="shared" si="6"/>
        <v>0.36123668795412517</v>
      </c>
      <c r="AW18">
        <f t="shared" si="6"/>
        <v>8.6840527937986536E-2</v>
      </c>
    </row>
    <row r="19" spans="7:49" x14ac:dyDescent="0.35">
      <c r="H19">
        <f>$E$5+H18</f>
        <v>0.79597737568972637</v>
      </c>
      <c r="I19">
        <f t="shared" ref="I19:AW19" si="7">$E$5+I18</f>
        <v>0.79730385773135004</v>
      </c>
      <c r="J19">
        <f t="shared" si="7"/>
        <v>0.82334668496586938</v>
      </c>
      <c r="K19">
        <f t="shared" si="7"/>
        <v>1.2481959656421999</v>
      </c>
      <c r="L19">
        <f t="shared" si="7"/>
        <v>2.0948174690819519</v>
      </c>
      <c r="M19">
        <f t="shared" si="7"/>
        <v>3.2624299318320515</v>
      </c>
      <c r="N19">
        <f t="shared" si="7"/>
        <v>2.4993625730889373</v>
      </c>
      <c r="O19">
        <f t="shared" si="7"/>
        <v>2.8064969660950081</v>
      </c>
      <c r="P19">
        <f t="shared" si="7"/>
        <v>3.0968722907090798</v>
      </c>
      <c r="Q19">
        <f t="shared" si="7"/>
        <v>3.0126625021320166</v>
      </c>
      <c r="R19">
        <f t="shared" si="7"/>
        <v>1.6930779271623753</v>
      </c>
      <c r="S19">
        <f t="shared" si="7"/>
        <v>1.4324433393083178</v>
      </c>
      <c r="T19">
        <f t="shared" si="7"/>
        <v>1.9012104349772483</v>
      </c>
      <c r="U19">
        <f t="shared" si="7"/>
        <v>1.398222036466352</v>
      </c>
      <c r="V19">
        <f t="shared" si="7"/>
        <v>2.324845288012714</v>
      </c>
      <c r="W19">
        <f t="shared" si="7"/>
        <v>1.470507442932115</v>
      </c>
      <c r="X19">
        <f t="shared" si="7"/>
        <v>7.1545794928023199</v>
      </c>
      <c r="Y19">
        <f t="shared" si="7"/>
        <v>1.2600429449471906</v>
      </c>
      <c r="Z19">
        <f t="shared" si="7"/>
        <v>3.854661404276758</v>
      </c>
      <c r="AA19">
        <f t="shared" si="7"/>
        <v>3.7430613682745069</v>
      </c>
      <c r="AB19">
        <f t="shared" si="7"/>
        <v>5.3654702612073155</v>
      </c>
      <c r="AC19">
        <f t="shared" si="7"/>
        <v>4.8861744660018509</v>
      </c>
      <c r="AD19">
        <f t="shared" si="7"/>
        <v>2.1845219508695894</v>
      </c>
      <c r="AE19">
        <f t="shared" si="7"/>
        <v>3.8703298080231212</v>
      </c>
      <c r="AF19">
        <f t="shared" si="7"/>
        <v>1.8247118611128716</v>
      </c>
      <c r="AG19">
        <f t="shared" si="7"/>
        <v>4.8769371247500626</v>
      </c>
      <c r="AH19">
        <f t="shared" si="7"/>
        <v>5.360113334022536</v>
      </c>
      <c r="AI19">
        <f t="shared" si="7"/>
        <v>4.4306144867028072</v>
      </c>
      <c r="AJ19">
        <f t="shared" si="7"/>
        <v>3.2463371284417519</v>
      </c>
      <c r="AK19">
        <f t="shared" si="7"/>
        <v>2.9066154530690822</v>
      </c>
      <c r="AL19">
        <f t="shared" si="7"/>
        <v>2.7549365252795264</v>
      </c>
      <c r="AM19">
        <f t="shared" si="7"/>
        <v>4.8065077882081226</v>
      </c>
      <c r="AN19">
        <f t="shared" si="7"/>
        <v>1.9860117088442852</v>
      </c>
      <c r="AO19">
        <f t="shared" si="7"/>
        <v>5.2125089629667301</v>
      </c>
      <c r="AP19">
        <f t="shared" si="7"/>
        <v>2.9891623369508635</v>
      </c>
      <c r="AQ19">
        <f t="shared" si="7"/>
        <v>3.7884725388033842</v>
      </c>
      <c r="AR19">
        <f t="shared" si="7"/>
        <v>4.4030797363306888</v>
      </c>
      <c r="AS19">
        <f t="shared" si="7"/>
        <v>4.2431543681133626</v>
      </c>
      <c r="AT19">
        <f t="shared" si="7"/>
        <v>1.5527769398523876</v>
      </c>
      <c r="AU19">
        <f t="shared" si="7"/>
        <v>1.0119356147874992</v>
      </c>
      <c r="AV19">
        <f t="shared" si="7"/>
        <v>1.1570314121680738</v>
      </c>
      <c r="AW19">
        <f t="shared" si="7"/>
        <v>0.88263525215193528</v>
      </c>
    </row>
    <row r="21" spans="7:49" x14ac:dyDescent="0.35">
      <c r="G21" t="s">
        <v>11</v>
      </c>
      <c r="H21">
        <v>-3.8377468043523302</v>
      </c>
      <c r="I21">
        <v>-1.70133287507399</v>
      </c>
      <c r="J21">
        <v>-0.83245469842164099</v>
      </c>
      <c r="K21">
        <v>-1.2910934108682</v>
      </c>
      <c r="L21">
        <v>-0.96141686221826395</v>
      </c>
      <c r="M21">
        <v>-1.0455311729908301</v>
      </c>
      <c r="N21">
        <v>-1.10424051989006</v>
      </c>
      <c r="O21">
        <v>-0.45091778577319103</v>
      </c>
      <c r="P21">
        <v>-0.18944009538433099</v>
      </c>
      <c r="Q21">
        <v>0.33814977820103498</v>
      </c>
      <c r="R21">
        <v>-0.223875713806477</v>
      </c>
      <c r="S21">
        <v>-0.1116943705541</v>
      </c>
      <c r="T21">
        <v>0.48963857314863402</v>
      </c>
      <c r="U21">
        <v>0.77876512672755704</v>
      </c>
      <c r="V21">
        <v>1.2749059179984099</v>
      </c>
      <c r="W21">
        <v>0.65870983638247504</v>
      </c>
      <c r="X21">
        <v>1.28340587647643</v>
      </c>
      <c r="Y21">
        <v>0.76055250530262197</v>
      </c>
      <c r="Z21">
        <v>0.97376685354274295</v>
      </c>
      <c r="AA21">
        <v>0.97564989897810095</v>
      </c>
      <c r="AB21">
        <v>0.83094546160389104</v>
      </c>
      <c r="AC21">
        <v>0.44170797554219099</v>
      </c>
      <c r="AD21">
        <v>0.50713234217082004</v>
      </c>
      <c r="AE21">
        <v>0.59870314670243696</v>
      </c>
      <c r="AF21">
        <v>0.59613557420936203</v>
      </c>
      <c r="AG21">
        <v>0.67682611566311601</v>
      </c>
      <c r="AH21">
        <v>0.39297876937696102</v>
      </c>
      <c r="AI21">
        <v>-3.1822953813848497E-2</v>
      </c>
      <c r="AJ21">
        <v>0.30326495847989199</v>
      </c>
      <c r="AK21">
        <v>4.8036171550193803E-2</v>
      </c>
      <c r="AL21">
        <v>-0.21679042146670999</v>
      </c>
      <c r="AM21">
        <v>-0.25825963161176402</v>
      </c>
      <c r="AN21">
        <v>-0.73429857077121996</v>
      </c>
      <c r="AO21">
        <v>-0.16355586194742699</v>
      </c>
      <c r="AP21">
        <v>9.7391490558187604E-2</v>
      </c>
      <c r="AQ21">
        <v>0.22330635966930301</v>
      </c>
      <c r="AR21">
        <v>0.135724480880895</v>
      </c>
      <c r="AS21">
        <v>-0.43867764347363902</v>
      </c>
      <c r="AT21">
        <v>-0.22112837718037601</v>
      </c>
      <c r="AU21">
        <v>-0.14545329081476199</v>
      </c>
      <c r="AV21">
        <v>0.61212975950717397</v>
      </c>
      <c r="AW21">
        <v>0.96190408708845299</v>
      </c>
    </row>
    <row r="22" spans="7:49" x14ac:dyDescent="0.35">
      <c r="G22" t="s">
        <v>14</v>
      </c>
      <c r="H22">
        <f>EXP(H21)</f>
        <v>2.1542085235426486E-2</v>
      </c>
      <c r="I22">
        <f t="shared" ref="I22:AW22" si="8">EXP(I21)</f>
        <v>0.18244019193877523</v>
      </c>
      <c r="J22">
        <f t="shared" si="8"/>
        <v>0.43498022946953213</v>
      </c>
      <c r="K22">
        <f t="shared" si="8"/>
        <v>0.27496996351349146</v>
      </c>
      <c r="L22">
        <f t="shared" si="8"/>
        <v>0.38235076365833848</v>
      </c>
      <c r="M22">
        <f t="shared" si="8"/>
        <v>0.35150505978773355</v>
      </c>
      <c r="N22">
        <f t="shared" si="8"/>
        <v>0.33146252586630731</v>
      </c>
      <c r="O22">
        <f t="shared" si="8"/>
        <v>0.63704321404038322</v>
      </c>
      <c r="P22">
        <f t="shared" si="8"/>
        <v>0.82742228182664612</v>
      </c>
      <c r="Q22">
        <f t="shared" si="8"/>
        <v>1.4023505292157703</v>
      </c>
      <c r="R22">
        <f t="shared" si="8"/>
        <v>0.79941448437863061</v>
      </c>
      <c r="S22">
        <f t="shared" si="8"/>
        <v>0.89431754551169163</v>
      </c>
      <c r="T22">
        <f t="shared" si="8"/>
        <v>1.6317263636449424</v>
      </c>
      <c r="U22">
        <f t="shared" si="8"/>
        <v>2.1787800862951445</v>
      </c>
      <c r="V22">
        <f t="shared" si="8"/>
        <v>3.5783647345476268</v>
      </c>
      <c r="W22">
        <f t="shared" si="8"/>
        <v>1.9322977452848047</v>
      </c>
      <c r="X22">
        <f t="shared" si="8"/>
        <v>3.6089103204083814</v>
      </c>
      <c r="Y22">
        <f t="shared" si="8"/>
        <v>2.1394579558745832</v>
      </c>
      <c r="Z22">
        <f t="shared" si="8"/>
        <v>2.6478999484494268</v>
      </c>
      <c r="AA22">
        <f t="shared" si="8"/>
        <v>2.6528907618501081</v>
      </c>
      <c r="AB22">
        <f t="shared" si="8"/>
        <v>2.2954880103978041</v>
      </c>
      <c r="AC22">
        <f t="shared" si="8"/>
        <v>1.5553614705182479</v>
      </c>
      <c r="AD22">
        <f t="shared" si="8"/>
        <v>1.6605225503013068</v>
      </c>
      <c r="AE22">
        <f t="shared" si="8"/>
        <v>1.8197573111991616</v>
      </c>
      <c r="AF22">
        <f t="shared" si="8"/>
        <v>1.8150909455624371</v>
      </c>
      <c r="AG22">
        <f t="shared" si="8"/>
        <v>1.9676228040732231</v>
      </c>
      <c r="AH22">
        <f t="shared" si="8"/>
        <v>1.4813869382277418</v>
      </c>
      <c r="AI22">
        <f t="shared" si="8"/>
        <v>0.968678067655803</v>
      </c>
      <c r="AJ22">
        <f t="shared" si="8"/>
        <v>1.3542732430893143</v>
      </c>
      <c r="AK22">
        <f t="shared" si="8"/>
        <v>1.0492086061398571</v>
      </c>
      <c r="AL22">
        <f t="shared" si="8"/>
        <v>0.80509868302613918</v>
      </c>
      <c r="AM22">
        <f t="shared" si="8"/>
        <v>0.77239466799909284</v>
      </c>
      <c r="AN22">
        <f t="shared" si="8"/>
        <v>0.47984191610581678</v>
      </c>
      <c r="AO22">
        <f t="shared" si="8"/>
        <v>0.84911906423217154</v>
      </c>
      <c r="AP22">
        <f t="shared" si="8"/>
        <v>1.1022918260029806</v>
      </c>
      <c r="AQ22">
        <f t="shared" si="8"/>
        <v>1.2502035270113661</v>
      </c>
      <c r="AR22">
        <f t="shared" si="8"/>
        <v>1.1453662798095765</v>
      </c>
      <c r="AS22">
        <f t="shared" si="8"/>
        <v>0.64488863018572617</v>
      </c>
      <c r="AT22">
        <f t="shared" si="8"/>
        <v>0.80161376476946278</v>
      </c>
      <c r="AU22">
        <f t="shared" si="8"/>
        <v>0.8646302753064572</v>
      </c>
      <c r="AV22">
        <f t="shared" si="8"/>
        <v>1.8443552519991657</v>
      </c>
      <c r="AW22">
        <f t="shared" si="8"/>
        <v>2.6166741083784579</v>
      </c>
    </row>
    <row r="23" spans="7:49" x14ac:dyDescent="0.35">
      <c r="G23" t="s">
        <v>15</v>
      </c>
      <c r="H23">
        <f>$E$8+H22</f>
        <v>0.22154208523542651</v>
      </c>
      <c r="I23">
        <f t="shared" ref="I23:AW23" si="9">$E$8+I22</f>
        <v>0.38244019193877521</v>
      </c>
      <c r="J23">
        <f t="shared" si="9"/>
        <v>0.63498022946953214</v>
      </c>
      <c r="K23">
        <f t="shared" si="9"/>
        <v>0.47496996351349147</v>
      </c>
      <c r="L23">
        <f t="shared" si="9"/>
        <v>0.58235076365833849</v>
      </c>
      <c r="M23">
        <f t="shared" si="9"/>
        <v>0.55150505978773356</v>
      </c>
      <c r="N23">
        <f t="shared" si="9"/>
        <v>0.53146252586630727</v>
      </c>
      <c r="O23">
        <f t="shared" si="9"/>
        <v>0.83704321404038318</v>
      </c>
      <c r="P23">
        <f t="shared" si="9"/>
        <v>1.0274222818266461</v>
      </c>
      <c r="Q23">
        <f t="shared" si="9"/>
        <v>1.6023505292157703</v>
      </c>
      <c r="R23">
        <f t="shared" si="9"/>
        <v>0.99941448437863056</v>
      </c>
      <c r="S23">
        <f t="shared" si="9"/>
        <v>1.0943175455116916</v>
      </c>
      <c r="T23">
        <f t="shared" si="9"/>
        <v>1.8317263636449423</v>
      </c>
      <c r="U23">
        <f t="shared" si="9"/>
        <v>2.3787800862951447</v>
      </c>
      <c r="V23">
        <f t="shared" si="9"/>
        <v>3.778364734547627</v>
      </c>
      <c r="W23">
        <f t="shared" si="9"/>
        <v>2.1322977452848049</v>
      </c>
      <c r="X23">
        <f t="shared" si="9"/>
        <v>3.8089103204083816</v>
      </c>
      <c r="Y23">
        <f t="shared" si="9"/>
        <v>2.3394579558745834</v>
      </c>
      <c r="Z23">
        <f t="shared" si="9"/>
        <v>2.847899948449427</v>
      </c>
      <c r="AA23">
        <f t="shared" si="9"/>
        <v>2.8528907618501083</v>
      </c>
      <c r="AB23">
        <f t="shared" si="9"/>
        <v>2.4954880103978043</v>
      </c>
      <c r="AC23">
        <f t="shared" si="9"/>
        <v>1.7553614705182479</v>
      </c>
      <c r="AD23">
        <f t="shared" si="9"/>
        <v>1.8605225503013068</v>
      </c>
      <c r="AE23">
        <f t="shared" si="9"/>
        <v>2.0197573111991618</v>
      </c>
      <c r="AF23">
        <f t="shared" si="9"/>
        <v>2.0150909455624371</v>
      </c>
      <c r="AG23">
        <f t="shared" si="9"/>
        <v>2.1676228040732233</v>
      </c>
      <c r="AH23">
        <f t="shared" si="9"/>
        <v>1.6813869382277418</v>
      </c>
      <c r="AI23">
        <f t="shared" si="9"/>
        <v>1.1686780676558031</v>
      </c>
      <c r="AJ23">
        <f t="shared" si="9"/>
        <v>1.5542732430893142</v>
      </c>
      <c r="AK23">
        <f t="shared" si="9"/>
        <v>1.2492086061398571</v>
      </c>
      <c r="AL23">
        <f t="shared" si="9"/>
        <v>1.0050986830261393</v>
      </c>
      <c r="AM23">
        <f t="shared" si="9"/>
        <v>0.97239466799909291</v>
      </c>
      <c r="AN23">
        <f t="shared" si="9"/>
        <v>0.67984191610581679</v>
      </c>
      <c r="AO23">
        <f t="shared" si="9"/>
        <v>1.0491190642321715</v>
      </c>
      <c r="AP23">
        <f t="shared" si="9"/>
        <v>1.3022918260029805</v>
      </c>
      <c r="AQ23">
        <f t="shared" si="9"/>
        <v>1.450203527011366</v>
      </c>
      <c r="AR23">
        <f t="shared" si="9"/>
        <v>1.3453662798095765</v>
      </c>
      <c r="AS23">
        <f t="shared" si="9"/>
        <v>0.84488863018572613</v>
      </c>
      <c r="AT23">
        <f t="shared" si="9"/>
        <v>1.0016137647694627</v>
      </c>
      <c r="AU23">
        <f t="shared" si="9"/>
        <v>1.0646302753064572</v>
      </c>
      <c r="AV23">
        <f t="shared" si="9"/>
        <v>2.0443552519991659</v>
      </c>
      <c r="AW23">
        <f t="shared" si="9"/>
        <v>2.8166741083784581</v>
      </c>
    </row>
    <row r="25" spans="7:49" x14ac:dyDescent="0.35">
      <c r="G25" t="s">
        <v>10</v>
      </c>
      <c r="H25">
        <v>-7.15232373883926</v>
      </c>
      <c r="I25">
        <v>-5.2209221152609997</v>
      </c>
      <c r="J25">
        <v>-4.2822313844818796</v>
      </c>
      <c r="K25">
        <v>-2.8882294297763398</v>
      </c>
      <c r="L25">
        <v>-2.0092806911338998</v>
      </c>
      <c r="M25">
        <v>0.65124132015618097</v>
      </c>
      <c r="N25">
        <v>0.36910495282970301</v>
      </c>
      <c r="O25">
        <v>0.26005229138073299</v>
      </c>
      <c r="P25">
        <v>0.29516999480745498</v>
      </c>
      <c r="Q25">
        <v>-2.7433200269040101E-2</v>
      </c>
      <c r="R25">
        <v>-1.52923025390643</v>
      </c>
      <c r="S25">
        <v>-2.2017381113288801</v>
      </c>
      <c r="T25">
        <v>-1.1697762337462401</v>
      </c>
      <c r="U25">
        <v>-2.0614794506798799</v>
      </c>
      <c r="V25">
        <v>-1.86934118724923</v>
      </c>
      <c r="W25">
        <v>-0.43634742895990503</v>
      </c>
      <c r="X25">
        <v>-6.7185954855299906E-2</v>
      </c>
      <c r="Y25">
        <v>-4.0463771575559999</v>
      </c>
      <c r="Z25">
        <v>1.15035669515048</v>
      </c>
      <c r="AA25">
        <v>1.3285222621548001</v>
      </c>
      <c r="AB25">
        <v>1.8448587431565</v>
      </c>
      <c r="AC25">
        <v>1.70268725065188</v>
      </c>
      <c r="AD25">
        <v>0.67310395116625099</v>
      </c>
      <c r="AE25">
        <v>1.6278703618755299</v>
      </c>
      <c r="AF25">
        <v>0.74899581117065595</v>
      </c>
      <c r="AG25">
        <v>1.90035586139197</v>
      </c>
      <c r="AH25">
        <v>1.6597220500882399</v>
      </c>
      <c r="AI25">
        <v>1.53018168259459</v>
      </c>
      <c r="AJ25">
        <v>1.10163134166707</v>
      </c>
      <c r="AK25">
        <v>0.92295365028855703</v>
      </c>
      <c r="AL25">
        <v>0.70371923453419005</v>
      </c>
      <c r="AM25">
        <v>1.6112571325615299</v>
      </c>
      <c r="AN25">
        <v>0.69033225279117305</v>
      </c>
      <c r="AO25">
        <v>1.7223576359914601</v>
      </c>
      <c r="AP25">
        <v>1.0872895862504</v>
      </c>
      <c r="AQ25">
        <v>1.2532765220709099</v>
      </c>
      <c r="AR25">
        <v>1.5365062880479801</v>
      </c>
      <c r="AS25">
        <v>1.4523359414311801</v>
      </c>
      <c r="AT25">
        <v>0.85726784460552796</v>
      </c>
      <c r="AU25">
        <v>1.07259205465237</v>
      </c>
      <c r="AV25">
        <v>1.8688648307509299</v>
      </c>
      <c r="AW25">
        <v>3.3392888036999699</v>
      </c>
    </row>
    <row r="26" spans="7:49" x14ac:dyDescent="0.35">
      <c r="H26">
        <f>EXP(H25)</f>
        <v>7.8304237956093418E-4</v>
      </c>
      <c r="I26">
        <f t="shared" ref="I26:AW26" si="10">EXP(I25)</f>
        <v>5.4023452439424221E-3</v>
      </c>
      <c r="J26">
        <f t="shared" si="10"/>
        <v>1.3811808221331759E-2</v>
      </c>
      <c r="K26">
        <f t="shared" si="10"/>
        <v>5.5674701363573158E-2</v>
      </c>
      <c r="L26">
        <f t="shared" si="10"/>
        <v>0.13408508858198545</v>
      </c>
      <c r="M26">
        <f t="shared" si="10"/>
        <v>1.9179201048709638</v>
      </c>
      <c r="N26">
        <f t="shared" si="10"/>
        <v>1.4464394036170871</v>
      </c>
      <c r="O26">
        <f t="shared" si="10"/>
        <v>1.2969979067039039</v>
      </c>
      <c r="P26">
        <f t="shared" si="10"/>
        <v>1.3433547026010995</v>
      </c>
      <c r="Q26">
        <f t="shared" si="10"/>
        <v>0.97293967249113722</v>
      </c>
      <c r="R26">
        <f t="shared" si="10"/>
        <v>0.21670240896617607</v>
      </c>
      <c r="S26">
        <f t="shared" si="10"/>
        <v>0.11061073741046926</v>
      </c>
      <c r="T26">
        <f t="shared" si="10"/>
        <v>0.31043639868404627</v>
      </c>
      <c r="U26">
        <f t="shared" si="10"/>
        <v>0.1272655474476331</v>
      </c>
      <c r="V26">
        <f t="shared" si="10"/>
        <v>0.15422523390355025</v>
      </c>
      <c r="W26">
        <f t="shared" si="10"/>
        <v>0.64639311123254739</v>
      </c>
      <c r="X26">
        <f t="shared" si="10"/>
        <v>0.93502131341658745</v>
      </c>
      <c r="Y26">
        <f t="shared" si="10"/>
        <v>1.7485607630233095E-2</v>
      </c>
      <c r="Z26">
        <f t="shared" si="10"/>
        <v>3.1593196227195248</v>
      </c>
      <c r="AA26">
        <f t="shared" si="10"/>
        <v>3.7754601229773397</v>
      </c>
      <c r="AB26">
        <f t="shared" si="10"/>
        <v>6.3272059661312081</v>
      </c>
      <c r="AC26">
        <f t="shared" si="10"/>
        <v>5.4886770426920997</v>
      </c>
      <c r="AD26">
        <f t="shared" si="10"/>
        <v>1.9603126016565664</v>
      </c>
      <c r="AE26">
        <f t="shared" si="10"/>
        <v>5.0930168780927731</v>
      </c>
      <c r="AF26">
        <f t="shared" si="10"/>
        <v>2.1148752158734077</v>
      </c>
      <c r="AG26">
        <f t="shared" si="10"/>
        <v>6.6882741173741964</v>
      </c>
      <c r="AH26">
        <f t="shared" si="10"/>
        <v>5.2578492226000071</v>
      </c>
      <c r="AI26">
        <f t="shared" si="10"/>
        <v>4.6190159408714431</v>
      </c>
      <c r="AJ26">
        <f t="shared" si="10"/>
        <v>3.0090708447876402</v>
      </c>
      <c r="AK26">
        <f t="shared" si="10"/>
        <v>2.516712912592495</v>
      </c>
      <c r="AL26">
        <f t="shared" si="10"/>
        <v>2.0212562711905311</v>
      </c>
      <c r="AM26">
        <f t="shared" si="10"/>
        <v>5.009104379561462</v>
      </c>
      <c r="AN26">
        <f t="shared" si="10"/>
        <v>1.9943780608510362</v>
      </c>
      <c r="AO26">
        <f t="shared" si="10"/>
        <v>5.5977102824373599</v>
      </c>
      <c r="AP26">
        <f t="shared" si="10"/>
        <v>2.9662234743762577</v>
      </c>
      <c r="AQ26">
        <f t="shared" si="10"/>
        <v>3.5017978991336465</v>
      </c>
      <c r="AR26">
        <f t="shared" si="10"/>
        <v>4.6483219711315229</v>
      </c>
      <c r="AS26">
        <f t="shared" si="10"/>
        <v>4.2730845411554963</v>
      </c>
      <c r="AT26">
        <f t="shared" si="10"/>
        <v>2.3567129835523581</v>
      </c>
      <c r="AU26">
        <f t="shared" si="10"/>
        <v>2.9229461252899887</v>
      </c>
      <c r="AV26">
        <f t="shared" si="10"/>
        <v>6.4809352635932962</v>
      </c>
      <c r="AW26">
        <f t="shared" si="10"/>
        <v>28.199064501833746</v>
      </c>
    </row>
    <row r="27" spans="7:49" x14ac:dyDescent="0.35">
      <c r="H27">
        <f>$E$5+H26</f>
        <v>0.79657776659350965</v>
      </c>
      <c r="I27">
        <f t="shared" ref="I27:AW27" si="11">$E$5+I26</f>
        <v>0.80119706945789115</v>
      </c>
      <c r="J27">
        <f t="shared" si="11"/>
        <v>0.80960653243528047</v>
      </c>
      <c r="K27">
        <f t="shared" si="11"/>
        <v>0.85146942557752181</v>
      </c>
      <c r="L27">
        <f t="shared" si="11"/>
        <v>0.92987981279593412</v>
      </c>
      <c r="M27">
        <f t="shared" si="11"/>
        <v>2.7137148290849122</v>
      </c>
      <c r="N27">
        <f t="shared" si="11"/>
        <v>2.2422341278310358</v>
      </c>
      <c r="O27">
        <f t="shared" si="11"/>
        <v>2.0927926309178524</v>
      </c>
      <c r="P27">
        <f t="shared" si="11"/>
        <v>2.1391494268150479</v>
      </c>
      <c r="Q27">
        <f t="shared" si="11"/>
        <v>1.7687343967050859</v>
      </c>
      <c r="R27">
        <f t="shared" si="11"/>
        <v>1.0124971331801247</v>
      </c>
      <c r="S27">
        <f t="shared" si="11"/>
        <v>0.90640546162441793</v>
      </c>
      <c r="T27">
        <f t="shared" si="11"/>
        <v>1.1062311228979951</v>
      </c>
      <c r="U27">
        <f t="shared" si="11"/>
        <v>0.92306027166158178</v>
      </c>
      <c r="V27">
        <f t="shared" si="11"/>
        <v>0.95001995811749895</v>
      </c>
      <c r="W27">
        <f t="shared" si="11"/>
        <v>1.4421878354464961</v>
      </c>
      <c r="X27">
        <f t="shared" si="11"/>
        <v>1.7308160376305362</v>
      </c>
      <c r="Y27">
        <f t="shared" si="11"/>
        <v>0.8132803318441818</v>
      </c>
      <c r="Z27">
        <f t="shared" si="11"/>
        <v>3.9551143469334735</v>
      </c>
      <c r="AA27">
        <f t="shared" si="11"/>
        <v>4.5712548471912884</v>
      </c>
      <c r="AB27">
        <f t="shared" si="11"/>
        <v>7.1230006903451564</v>
      </c>
      <c r="AC27">
        <f t="shared" si="11"/>
        <v>6.2844717669060479</v>
      </c>
      <c r="AD27">
        <f t="shared" si="11"/>
        <v>2.7561073258705151</v>
      </c>
      <c r="AE27">
        <f t="shared" si="11"/>
        <v>5.8888116023067223</v>
      </c>
      <c r="AF27">
        <f t="shared" si="11"/>
        <v>2.9106699400873564</v>
      </c>
      <c r="AG27">
        <f t="shared" si="11"/>
        <v>7.4840688415881456</v>
      </c>
      <c r="AH27">
        <f t="shared" si="11"/>
        <v>6.0536439468139562</v>
      </c>
      <c r="AI27">
        <f t="shared" si="11"/>
        <v>5.4148106650853922</v>
      </c>
      <c r="AJ27">
        <f t="shared" si="11"/>
        <v>3.8048655690015889</v>
      </c>
      <c r="AK27">
        <f t="shared" si="11"/>
        <v>3.3125076368064437</v>
      </c>
      <c r="AL27">
        <f t="shared" si="11"/>
        <v>2.8170509954044798</v>
      </c>
      <c r="AM27">
        <f t="shared" si="11"/>
        <v>5.8048991037754103</v>
      </c>
      <c r="AN27">
        <f t="shared" si="11"/>
        <v>2.7901727850649847</v>
      </c>
      <c r="AO27">
        <f t="shared" si="11"/>
        <v>6.3935050066513082</v>
      </c>
      <c r="AP27">
        <f t="shared" si="11"/>
        <v>3.7620181985902064</v>
      </c>
      <c r="AQ27">
        <f t="shared" si="11"/>
        <v>4.2975926233475956</v>
      </c>
      <c r="AR27">
        <f t="shared" si="11"/>
        <v>5.4441166953454712</v>
      </c>
      <c r="AS27">
        <f t="shared" si="11"/>
        <v>5.0688792653694446</v>
      </c>
      <c r="AT27">
        <f t="shared" si="11"/>
        <v>3.1525077077663068</v>
      </c>
      <c r="AU27">
        <f t="shared" si="11"/>
        <v>3.7187408495039374</v>
      </c>
      <c r="AV27">
        <f t="shared" si="11"/>
        <v>7.2767299878072453</v>
      </c>
      <c r="AW27">
        <f t="shared" si="11"/>
        <v>28.994859226047694</v>
      </c>
    </row>
    <row r="58" spans="5:46" x14ac:dyDescent="0.35">
      <c r="E58">
        <v>0.5</v>
      </c>
      <c r="F58">
        <v>0.5</v>
      </c>
      <c r="G58">
        <v>0.5</v>
      </c>
      <c r="H58">
        <v>0.5</v>
      </c>
      <c r="I58">
        <v>0.5</v>
      </c>
      <c r="J58">
        <v>0.5</v>
      </c>
      <c r="K58">
        <v>0.5</v>
      </c>
      <c r="L58">
        <v>0.5</v>
      </c>
      <c r="M58">
        <v>0.5</v>
      </c>
      <c r="N58">
        <v>0.5</v>
      </c>
      <c r="O58">
        <v>0.5</v>
      </c>
      <c r="P58">
        <v>0.5</v>
      </c>
      <c r="Q58">
        <v>0.5</v>
      </c>
      <c r="R58">
        <v>0.5</v>
      </c>
      <c r="S58">
        <v>0.5</v>
      </c>
      <c r="T58">
        <v>0.5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0.5</v>
      </c>
      <c r="AI58">
        <v>0.5</v>
      </c>
      <c r="AJ58">
        <v>0.5</v>
      </c>
      <c r="AK58">
        <v>0.5</v>
      </c>
      <c r="AL58">
        <v>0.5</v>
      </c>
      <c r="AM58">
        <v>0.5</v>
      </c>
      <c r="AN58">
        <v>0.5</v>
      </c>
      <c r="AO58">
        <v>0.5</v>
      </c>
      <c r="AP58">
        <v>0.5</v>
      </c>
      <c r="AQ58">
        <v>0.5</v>
      </c>
      <c r="AR58">
        <v>0.5</v>
      </c>
      <c r="AS58">
        <v>0.5</v>
      </c>
      <c r="AT58">
        <v>0.5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75A7E-E045-49E6-BAAB-F4D42A04AF02}">
  <dimension ref="C3:AW65"/>
  <sheetViews>
    <sheetView workbookViewId="0">
      <selection activeCell="F65" sqref="F65:AU65"/>
    </sheetView>
  </sheetViews>
  <sheetFormatPr baseColWidth="10" defaultRowHeight="14.5" x14ac:dyDescent="0.35"/>
  <cols>
    <col min="3" max="3" width="16.1796875" customWidth="1"/>
  </cols>
  <sheetData>
    <row r="3" spans="3:49" x14ac:dyDescent="0.35">
      <c r="C3" t="s">
        <v>1</v>
      </c>
    </row>
    <row r="4" spans="3:49" x14ac:dyDescent="0.35">
      <c r="C4" t="s">
        <v>3</v>
      </c>
      <c r="D4">
        <v>-2.7340166594926298</v>
      </c>
      <c r="E4">
        <f>EXP(D4)</f>
        <v>6.4957851394934277E-2</v>
      </c>
      <c r="G4" t="s">
        <v>1</v>
      </c>
      <c r="H4">
        <v>-3.3347046867379899</v>
      </c>
      <c r="I4">
        <v>-2.0417016895807198</v>
      </c>
      <c r="J4">
        <v>-0.96748053929942501</v>
      </c>
      <c r="K4">
        <v>-1.3401510787400699</v>
      </c>
      <c r="L4">
        <v>-1.0109716407678599</v>
      </c>
      <c r="M4">
        <v>-1.0964364936231601</v>
      </c>
      <c r="N4">
        <v>-1.1462631745721401</v>
      </c>
      <c r="O4">
        <v>-0.53354095917709699</v>
      </c>
      <c r="P4">
        <v>-0.25898953603292102</v>
      </c>
      <c r="Q4">
        <v>0.26238427766269801</v>
      </c>
      <c r="R4">
        <v>-0.22956090390543901</v>
      </c>
      <c r="S4">
        <v>-0.13126824287984201</v>
      </c>
      <c r="T4">
        <v>0.46979016484956798</v>
      </c>
      <c r="U4">
        <v>0.76047121418834396</v>
      </c>
      <c r="V4">
        <v>1.22245499563905</v>
      </c>
      <c r="W4">
        <v>0.67215919994310103</v>
      </c>
      <c r="X4">
        <v>1.3221441825842399</v>
      </c>
      <c r="Y4">
        <v>0.81254988474516199</v>
      </c>
      <c r="Z4">
        <v>1.0249995447495399</v>
      </c>
      <c r="AA4">
        <v>1.0242980605502101</v>
      </c>
      <c r="AB4">
        <v>0.84853907822319996</v>
      </c>
      <c r="AC4">
        <v>0.47881752276867801</v>
      </c>
      <c r="AD4">
        <v>0.53229958143513001</v>
      </c>
      <c r="AE4">
        <v>0.62842476658963797</v>
      </c>
      <c r="AF4">
        <v>0.63716659129199205</v>
      </c>
      <c r="AG4">
        <v>0.71444916920338997</v>
      </c>
      <c r="AH4">
        <v>0.42223250306736498</v>
      </c>
      <c r="AI4">
        <v>-3.1828165898473999E-3</v>
      </c>
      <c r="AJ4">
        <v>0.34713900944826098</v>
      </c>
      <c r="AK4">
        <v>7.7598400471572196E-2</v>
      </c>
      <c r="AL4">
        <v>-0.21018479033870699</v>
      </c>
      <c r="AM4">
        <v>-0.238039205769081</v>
      </c>
      <c r="AN4">
        <v>-0.732571372843005</v>
      </c>
      <c r="AO4">
        <v>-0.169010399679661</v>
      </c>
      <c r="AP4">
        <v>8.7422534305468105E-2</v>
      </c>
      <c r="AQ4">
        <v>0.21231808298445401</v>
      </c>
      <c r="AR4">
        <v>0.162835092752626</v>
      </c>
      <c r="AS4">
        <v>-0.42269046261374499</v>
      </c>
      <c r="AT4">
        <v>-0.22593832451999801</v>
      </c>
      <c r="AU4">
        <v>-0.15900352943398599</v>
      </c>
      <c r="AV4">
        <v>0.56766608127972995</v>
      </c>
      <c r="AW4">
        <v>0.96352990748301903</v>
      </c>
    </row>
    <row r="5" spans="3:49" x14ac:dyDescent="0.35">
      <c r="C5" t="s">
        <v>4</v>
      </c>
      <c r="D5">
        <v>-0.22841401054892099</v>
      </c>
      <c r="E5">
        <f>EXP(D5)</f>
        <v>0.7957947242139487</v>
      </c>
      <c r="G5" t="s">
        <v>12</v>
      </c>
      <c r="H5">
        <f>EXP(H4)</f>
        <v>3.5625105224126617E-2</v>
      </c>
      <c r="I5">
        <f t="shared" ref="I5:AW5" si="0">EXP(I4)</f>
        <v>0.12980763053433808</v>
      </c>
      <c r="J5">
        <f t="shared" si="0"/>
        <v>0.38003932708055155</v>
      </c>
      <c r="K5">
        <f t="shared" si="0"/>
        <v>0.26180611225475925</v>
      </c>
      <c r="L5">
        <f t="shared" si="0"/>
        <v>0.36386526143385306</v>
      </c>
      <c r="M5">
        <f t="shared" si="0"/>
        <v>0.33405938793488515</v>
      </c>
      <c r="N5">
        <f t="shared" si="0"/>
        <v>0.31782219920298732</v>
      </c>
      <c r="O5">
        <f t="shared" si="0"/>
        <v>0.58652442923755677</v>
      </c>
      <c r="P5">
        <f t="shared" si="0"/>
        <v>0.77183109941666284</v>
      </c>
      <c r="Q5">
        <f t="shared" si="0"/>
        <v>1.3000260174141141</v>
      </c>
      <c r="R5">
        <f t="shared" si="0"/>
        <v>0.79488255571157951</v>
      </c>
      <c r="S5">
        <f t="shared" si="0"/>
        <v>0.8769824985259409</v>
      </c>
      <c r="T5">
        <f t="shared" si="0"/>
        <v>1.5996584934171769</v>
      </c>
      <c r="U5">
        <f t="shared" si="0"/>
        <v>2.1392840440222392</v>
      </c>
      <c r="V5">
        <f t="shared" si="0"/>
        <v>3.3955134803904152</v>
      </c>
      <c r="W5">
        <f t="shared" si="0"/>
        <v>1.9584614684962403</v>
      </c>
      <c r="X5">
        <f t="shared" si="0"/>
        <v>3.7514565675625149</v>
      </c>
      <c r="Y5">
        <f t="shared" si="0"/>
        <v>2.253647207025776</v>
      </c>
      <c r="Z5">
        <f t="shared" si="0"/>
        <v>2.7870941917396488</v>
      </c>
      <c r="AA5">
        <f t="shared" si="0"/>
        <v>2.7851397747785525</v>
      </c>
      <c r="AB5">
        <f t="shared" si="0"/>
        <v>2.3362313064198763</v>
      </c>
      <c r="AC5">
        <f t="shared" si="0"/>
        <v>1.6141645604029307</v>
      </c>
      <c r="AD5">
        <f t="shared" si="0"/>
        <v>1.7028436373007882</v>
      </c>
      <c r="AE5">
        <f t="shared" si="0"/>
        <v>1.8746552326397146</v>
      </c>
      <c r="AF5">
        <f t="shared" si="0"/>
        <v>1.8911149793506647</v>
      </c>
      <c r="AG5">
        <f t="shared" si="0"/>
        <v>2.0430609913410236</v>
      </c>
      <c r="AH5">
        <f t="shared" si="0"/>
        <v>1.5253631350654293</v>
      </c>
      <c r="AI5">
        <f t="shared" si="0"/>
        <v>0.99682224320132229</v>
      </c>
      <c r="AJ5">
        <f t="shared" si="0"/>
        <v>1.4150134119331415</v>
      </c>
      <c r="AK5">
        <f t="shared" si="0"/>
        <v>1.0806885674914293</v>
      </c>
      <c r="AL5">
        <f t="shared" si="0"/>
        <v>0.8104344716716716</v>
      </c>
      <c r="AM5">
        <f t="shared" si="0"/>
        <v>0.78817178960683665</v>
      </c>
      <c r="AN5">
        <f t="shared" si="0"/>
        <v>0.48067141421668064</v>
      </c>
      <c r="AO5">
        <f t="shared" si="0"/>
        <v>0.84450012080963632</v>
      </c>
      <c r="AP5">
        <f t="shared" si="0"/>
        <v>1.091357718384647</v>
      </c>
      <c r="AQ5">
        <f t="shared" si="0"/>
        <v>1.2365411452283812</v>
      </c>
      <c r="AR5">
        <f t="shared" si="0"/>
        <v>1.1768426038114359</v>
      </c>
      <c r="AS5">
        <f t="shared" si="0"/>
        <v>0.65528143582558296</v>
      </c>
      <c r="AT5">
        <f t="shared" si="0"/>
        <v>0.79776730282973785</v>
      </c>
      <c r="AU5">
        <f t="shared" si="0"/>
        <v>0.8529933483801051</v>
      </c>
      <c r="AV5">
        <f t="shared" si="0"/>
        <v>1.7641448721468467</v>
      </c>
      <c r="AW5">
        <f t="shared" si="0"/>
        <v>2.6209318107015656</v>
      </c>
    </row>
    <row r="6" spans="3:49" x14ac:dyDescent="0.35">
      <c r="G6" t="s">
        <v>6</v>
      </c>
      <c r="H6">
        <f>$E$4+H5</f>
        <v>0.10058295661906089</v>
      </c>
      <c r="I6">
        <f t="shared" ref="I6:AV6" si="1">$E$4+I5</f>
        <v>0.19476548192927234</v>
      </c>
      <c r="J6">
        <f t="shared" si="1"/>
        <v>0.44499717847548581</v>
      </c>
      <c r="K6">
        <f t="shared" si="1"/>
        <v>0.32676396364969351</v>
      </c>
      <c r="L6">
        <f t="shared" si="1"/>
        <v>0.42882311282878732</v>
      </c>
      <c r="M6">
        <f t="shared" si="1"/>
        <v>0.39901723932981942</v>
      </c>
      <c r="N6">
        <f t="shared" si="1"/>
        <v>0.38278005059792158</v>
      </c>
      <c r="O6">
        <f t="shared" si="1"/>
        <v>0.65148228063249103</v>
      </c>
      <c r="P6">
        <f t="shared" si="1"/>
        <v>0.8367889508115971</v>
      </c>
      <c r="Q6">
        <f t="shared" si="1"/>
        <v>1.3649838688090483</v>
      </c>
      <c r="R6">
        <f t="shared" si="1"/>
        <v>0.85984040710651377</v>
      </c>
      <c r="S6">
        <f t="shared" si="1"/>
        <v>0.94194034992087516</v>
      </c>
      <c r="T6">
        <f t="shared" si="1"/>
        <v>1.6646163448121112</v>
      </c>
      <c r="U6">
        <f t="shared" si="1"/>
        <v>2.2042418954171734</v>
      </c>
      <c r="V6">
        <f t="shared" si="1"/>
        <v>3.4604713317853495</v>
      </c>
      <c r="W6">
        <f t="shared" si="1"/>
        <v>2.0234193198911745</v>
      </c>
      <c r="X6">
        <f t="shared" si="1"/>
        <v>3.8164144189574492</v>
      </c>
      <c r="Y6">
        <f t="shared" si="1"/>
        <v>2.3186050584207103</v>
      </c>
      <c r="Z6">
        <f t="shared" si="1"/>
        <v>2.852052043134583</v>
      </c>
      <c r="AA6">
        <f t="shared" si="1"/>
        <v>2.8500976261734867</v>
      </c>
      <c r="AB6">
        <f t="shared" si="1"/>
        <v>2.4011891578148106</v>
      </c>
      <c r="AC6">
        <f t="shared" si="1"/>
        <v>1.6791224117978649</v>
      </c>
      <c r="AD6">
        <f t="shared" si="1"/>
        <v>1.7678014886957225</v>
      </c>
      <c r="AE6">
        <f t="shared" si="1"/>
        <v>1.9396130840346488</v>
      </c>
      <c r="AF6">
        <f t="shared" si="1"/>
        <v>1.956072830745599</v>
      </c>
      <c r="AG6">
        <f t="shared" si="1"/>
        <v>2.1080188427359579</v>
      </c>
      <c r="AH6">
        <f t="shared" si="1"/>
        <v>1.5903209864603636</v>
      </c>
      <c r="AI6">
        <f t="shared" si="1"/>
        <v>1.0617800945962566</v>
      </c>
      <c r="AJ6">
        <f t="shared" si="1"/>
        <v>1.4799712633280757</v>
      </c>
      <c r="AK6">
        <f t="shared" si="1"/>
        <v>1.1456464188863635</v>
      </c>
      <c r="AL6">
        <f t="shared" si="1"/>
        <v>0.87539232306660586</v>
      </c>
      <c r="AM6">
        <f t="shared" si="1"/>
        <v>0.85312964100177091</v>
      </c>
      <c r="AN6">
        <f t="shared" si="1"/>
        <v>0.54562926561161496</v>
      </c>
      <c r="AO6">
        <f t="shared" si="1"/>
        <v>0.90945797220457059</v>
      </c>
      <c r="AP6">
        <f t="shared" si="1"/>
        <v>1.1563155697795813</v>
      </c>
      <c r="AQ6">
        <f t="shared" si="1"/>
        <v>1.3014989966233155</v>
      </c>
      <c r="AR6">
        <f t="shared" si="1"/>
        <v>1.2418004552063702</v>
      </c>
      <c r="AS6">
        <f t="shared" si="1"/>
        <v>0.72023928722051722</v>
      </c>
      <c r="AT6">
        <f t="shared" si="1"/>
        <v>0.86272515422467211</v>
      </c>
      <c r="AU6">
        <f t="shared" si="1"/>
        <v>0.91795119977503936</v>
      </c>
      <c r="AV6">
        <f t="shared" si="1"/>
        <v>1.8291027235417809</v>
      </c>
      <c r="AW6">
        <f>$E$4+AW5</f>
        <v>2.6858896620964998</v>
      </c>
    </row>
    <row r="7" spans="3:49" x14ac:dyDescent="0.35">
      <c r="C7" t="s">
        <v>16</v>
      </c>
      <c r="H7">
        <v>1</v>
      </c>
      <c r="I7">
        <v>2</v>
      </c>
      <c r="J7">
        <v>3</v>
      </c>
      <c r="K7">
        <v>4</v>
      </c>
      <c r="L7">
        <v>5</v>
      </c>
      <c r="M7">
        <v>6</v>
      </c>
      <c r="N7">
        <v>7</v>
      </c>
      <c r="O7">
        <v>8</v>
      </c>
      <c r="P7">
        <v>9</v>
      </c>
      <c r="Q7">
        <v>10</v>
      </c>
      <c r="R7">
        <v>11</v>
      </c>
      <c r="S7">
        <v>12</v>
      </c>
      <c r="T7">
        <v>13</v>
      </c>
      <c r="U7">
        <v>14</v>
      </c>
      <c r="V7">
        <v>15</v>
      </c>
      <c r="W7">
        <v>16</v>
      </c>
      <c r="X7">
        <v>17</v>
      </c>
      <c r="Y7">
        <v>18</v>
      </c>
      <c r="Z7">
        <v>19</v>
      </c>
      <c r="AA7">
        <v>20</v>
      </c>
      <c r="AB7">
        <v>21</v>
      </c>
      <c r="AC7">
        <v>22</v>
      </c>
      <c r="AD7">
        <v>23</v>
      </c>
      <c r="AE7">
        <v>24</v>
      </c>
      <c r="AF7">
        <v>25</v>
      </c>
      <c r="AG7">
        <v>26</v>
      </c>
      <c r="AH7">
        <v>27</v>
      </c>
      <c r="AI7">
        <v>28</v>
      </c>
      <c r="AJ7">
        <v>29</v>
      </c>
      <c r="AK7">
        <v>30</v>
      </c>
      <c r="AL7">
        <v>31</v>
      </c>
      <c r="AM7">
        <v>32</v>
      </c>
      <c r="AN7">
        <v>33</v>
      </c>
      <c r="AO7">
        <v>34</v>
      </c>
      <c r="AP7">
        <v>35</v>
      </c>
      <c r="AQ7">
        <v>36</v>
      </c>
      <c r="AR7">
        <v>37</v>
      </c>
      <c r="AS7">
        <v>38</v>
      </c>
      <c r="AT7">
        <v>39</v>
      </c>
      <c r="AU7">
        <v>40</v>
      </c>
      <c r="AV7">
        <v>41</v>
      </c>
      <c r="AW7">
        <v>42</v>
      </c>
    </row>
    <row r="8" spans="3:49" x14ac:dyDescent="0.35">
      <c r="C8" t="s">
        <v>3</v>
      </c>
      <c r="D8">
        <v>-2.7340166594926298</v>
      </c>
      <c r="E8">
        <f>EXP(D8)</f>
        <v>6.4957851394934277E-2</v>
      </c>
    </row>
    <row r="9" spans="3:49" x14ac:dyDescent="0.35">
      <c r="C9" t="s">
        <v>4</v>
      </c>
      <c r="D9">
        <v>-0.22841401054892099</v>
      </c>
      <c r="E9">
        <f>EXP(D9)</f>
        <v>0.7957947242139487</v>
      </c>
      <c r="G9" t="s">
        <v>8</v>
      </c>
      <c r="H9">
        <v>-7.0632605034158402</v>
      </c>
      <c r="I9">
        <v>-5.1291068025690096</v>
      </c>
      <c r="J9">
        <v>-3.7227865694301201</v>
      </c>
      <c r="K9">
        <v>-3.4236283577237399</v>
      </c>
      <c r="L9">
        <v>-1.9566164998314299</v>
      </c>
      <c r="M9">
        <v>0.730427783531025</v>
      </c>
      <c r="N9">
        <v>0.495715039994232</v>
      </c>
      <c r="O9">
        <v>0.30203073494275301</v>
      </c>
      <c r="P9">
        <v>0.28842412833534897</v>
      </c>
      <c r="Q9">
        <v>-4.3675050133887998E-2</v>
      </c>
      <c r="R9">
        <v>-1.53259872733245</v>
      </c>
      <c r="S9">
        <v>-2.2337891097224198</v>
      </c>
      <c r="T9">
        <v>-1.1797985794174199</v>
      </c>
      <c r="U9">
        <v>-2.0962634829176299</v>
      </c>
      <c r="V9">
        <v>-1.9077068390659799</v>
      </c>
      <c r="W9">
        <v>-0.40731312255428997</v>
      </c>
      <c r="X9">
        <v>-7.1385952527774896E-2</v>
      </c>
      <c r="Y9">
        <v>-4.0697177258877497</v>
      </c>
      <c r="Z9">
        <v>1.1869533703159301</v>
      </c>
      <c r="AA9">
        <v>1.3621186030315799</v>
      </c>
      <c r="AB9">
        <v>1.8655392848636401</v>
      </c>
      <c r="AC9">
        <v>1.7378832702443201</v>
      </c>
      <c r="AD9">
        <v>0.70276544082345704</v>
      </c>
      <c r="AE9">
        <v>1.64172315871903</v>
      </c>
      <c r="AF9">
        <v>0.77576315339642798</v>
      </c>
      <c r="AG9">
        <v>1.9352264574973801</v>
      </c>
      <c r="AH9">
        <v>1.7093823587708401</v>
      </c>
      <c r="AI9">
        <v>1.5624174376250699</v>
      </c>
      <c r="AJ9">
        <v>1.1340632509886801</v>
      </c>
      <c r="AK9">
        <v>0.95454439971878602</v>
      </c>
      <c r="AL9">
        <v>0.74047683099120798</v>
      </c>
      <c r="AM9">
        <v>1.64528065052054</v>
      </c>
      <c r="AN9">
        <v>0.729875007799899</v>
      </c>
      <c r="AO9">
        <v>1.79480323840959</v>
      </c>
      <c r="AP9">
        <v>1.0822983905992301</v>
      </c>
      <c r="AQ9">
        <v>1.26683125865962</v>
      </c>
      <c r="AR9">
        <v>1.5665947145374199</v>
      </c>
      <c r="AS9">
        <v>1.5049397814499299</v>
      </c>
      <c r="AT9">
        <v>0.94493908111894298</v>
      </c>
      <c r="AU9">
        <v>1.20819923729594</v>
      </c>
      <c r="AV9">
        <v>1.851413693954</v>
      </c>
      <c r="AW9">
        <v>2.1170175485973801</v>
      </c>
    </row>
    <row r="10" spans="3:49" x14ac:dyDescent="0.35">
      <c r="H10">
        <f>EXP(H9)</f>
        <v>8.5598260489287692E-4</v>
      </c>
      <c r="I10">
        <f t="shared" ref="I10:AW10" si="2">EXP(I9)</f>
        <v>5.921847491120946E-3</v>
      </c>
      <c r="J10">
        <f t="shared" si="2"/>
        <v>2.416653221239522E-2</v>
      </c>
      <c r="K10">
        <f t="shared" si="2"/>
        <v>3.2593957592124127E-2</v>
      </c>
      <c r="L10">
        <f t="shared" si="2"/>
        <v>0.14133582260086391</v>
      </c>
      <c r="M10">
        <f t="shared" si="2"/>
        <v>2.0759684828792904</v>
      </c>
      <c r="N10">
        <f t="shared" si="2"/>
        <v>1.6416716803871814</v>
      </c>
      <c r="O10">
        <f t="shared" si="2"/>
        <v>1.3526027982402011</v>
      </c>
      <c r="P10">
        <f t="shared" si="2"/>
        <v>1.3343231083668663</v>
      </c>
      <c r="Q10">
        <f t="shared" si="2"/>
        <v>0.95726497006241584</v>
      </c>
      <c r="R10">
        <f t="shared" si="2"/>
        <v>0.21597368070016809</v>
      </c>
      <c r="S10">
        <f t="shared" si="2"/>
        <v>0.1071217640534879</v>
      </c>
      <c r="T10">
        <f t="shared" si="2"/>
        <v>0.30734063709728104</v>
      </c>
      <c r="U10">
        <f t="shared" si="2"/>
        <v>0.12291484469607986</v>
      </c>
      <c r="V10">
        <f t="shared" si="2"/>
        <v>0.14842034839768317</v>
      </c>
      <c r="W10">
        <f t="shared" si="2"/>
        <v>0.66543579472078673</v>
      </c>
      <c r="X10">
        <f t="shared" si="2"/>
        <v>0.93110246142185593</v>
      </c>
      <c r="Y10">
        <f t="shared" si="2"/>
        <v>1.7082209692581164E-2</v>
      </c>
      <c r="Z10">
        <f t="shared" si="2"/>
        <v>3.2770819279878705</v>
      </c>
      <c r="AA10">
        <f t="shared" si="2"/>
        <v>3.9044565389048347</v>
      </c>
      <c r="AB10">
        <f t="shared" si="2"/>
        <v>6.4594184134479411</v>
      </c>
      <c r="AC10">
        <f t="shared" si="2"/>
        <v>5.6852964409213493</v>
      </c>
      <c r="AD10">
        <f t="shared" si="2"/>
        <v>2.0193293287701524</v>
      </c>
      <c r="AE10">
        <f t="shared" si="2"/>
        <v>5.1640603454862397</v>
      </c>
      <c r="AF10">
        <f t="shared" si="2"/>
        <v>2.1722492541781833</v>
      </c>
      <c r="AG10">
        <f t="shared" si="2"/>
        <v>6.9256122346230793</v>
      </c>
      <c r="AH10">
        <f t="shared" si="2"/>
        <v>5.5255476174399139</v>
      </c>
      <c r="AI10">
        <f t="shared" si="2"/>
        <v>4.7703393151654545</v>
      </c>
      <c r="AJ10">
        <f t="shared" si="2"/>
        <v>3.1082605187640229</v>
      </c>
      <c r="AK10">
        <f t="shared" si="2"/>
        <v>2.5974868975353331</v>
      </c>
      <c r="AL10">
        <f t="shared" si="2"/>
        <v>2.096935159815243</v>
      </c>
      <c r="AM10">
        <f t="shared" si="2"/>
        <v>5.1824641641352862</v>
      </c>
      <c r="AN10">
        <f t="shared" si="2"/>
        <v>2.0748212549924512</v>
      </c>
      <c r="AO10">
        <f t="shared" si="2"/>
        <v>6.0182904369022658</v>
      </c>
      <c r="AP10">
        <f t="shared" si="2"/>
        <v>2.9514553586067924</v>
      </c>
      <c r="AQ10">
        <f t="shared" si="2"/>
        <v>3.5495869998873286</v>
      </c>
      <c r="AR10">
        <f t="shared" si="2"/>
        <v>4.7903080218221907</v>
      </c>
      <c r="AS10">
        <f t="shared" si="2"/>
        <v>4.5038824048540587</v>
      </c>
      <c r="AT10">
        <f t="shared" si="2"/>
        <v>2.5726566504500337</v>
      </c>
      <c r="AU10">
        <f t="shared" si="2"/>
        <v>3.3474512564458143</v>
      </c>
      <c r="AV10">
        <f t="shared" si="2"/>
        <v>6.3688167191522176</v>
      </c>
      <c r="AW10">
        <f t="shared" si="2"/>
        <v>8.3063272909956698</v>
      </c>
    </row>
    <row r="11" spans="3:49" x14ac:dyDescent="0.35">
      <c r="H11">
        <f>$E$5+H10</f>
        <v>0.79665070681884154</v>
      </c>
      <c r="I11">
        <f t="shared" ref="I11:AW11" si="3">$E$5+I10</f>
        <v>0.8017165717050696</v>
      </c>
      <c r="J11">
        <f t="shared" si="3"/>
        <v>0.81996125642634388</v>
      </c>
      <c r="K11">
        <f t="shared" si="3"/>
        <v>0.82838868180607284</v>
      </c>
      <c r="L11">
        <f t="shared" si="3"/>
        <v>0.93713054681481256</v>
      </c>
      <c r="M11">
        <f t="shared" si="3"/>
        <v>2.8717632070932391</v>
      </c>
      <c r="N11">
        <f t="shared" si="3"/>
        <v>2.4374664046011301</v>
      </c>
      <c r="O11">
        <f t="shared" si="3"/>
        <v>2.1483975224541498</v>
      </c>
      <c r="P11">
        <f t="shared" si="3"/>
        <v>2.1301178325808152</v>
      </c>
      <c r="Q11">
        <f t="shared" si="3"/>
        <v>1.7530596942763645</v>
      </c>
      <c r="R11">
        <f t="shared" si="3"/>
        <v>1.0117684049141169</v>
      </c>
      <c r="S11">
        <f t="shared" si="3"/>
        <v>0.90291648826743665</v>
      </c>
      <c r="T11">
        <f t="shared" si="3"/>
        <v>1.1031353613112298</v>
      </c>
      <c r="U11">
        <f t="shared" si="3"/>
        <v>0.91870956891002853</v>
      </c>
      <c r="V11">
        <f t="shared" si="3"/>
        <v>0.94421507261163184</v>
      </c>
      <c r="W11">
        <f t="shared" si="3"/>
        <v>1.4612305189347354</v>
      </c>
      <c r="X11">
        <f t="shared" si="3"/>
        <v>1.7268971856358046</v>
      </c>
      <c r="Y11">
        <f t="shared" si="3"/>
        <v>0.81287693390652982</v>
      </c>
      <c r="Z11">
        <f t="shared" si="3"/>
        <v>4.0728766522018187</v>
      </c>
      <c r="AA11">
        <f t="shared" si="3"/>
        <v>4.7002512631187834</v>
      </c>
      <c r="AB11">
        <f t="shared" si="3"/>
        <v>7.2552131376618902</v>
      </c>
      <c r="AC11">
        <f t="shared" si="3"/>
        <v>6.4810911651352985</v>
      </c>
      <c r="AD11">
        <f t="shared" si="3"/>
        <v>2.8151240529841011</v>
      </c>
      <c r="AE11">
        <f t="shared" si="3"/>
        <v>5.959855069700188</v>
      </c>
      <c r="AF11">
        <f t="shared" si="3"/>
        <v>2.968043978392132</v>
      </c>
      <c r="AG11">
        <f t="shared" si="3"/>
        <v>7.7214069588370275</v>
      </c>
      <c r="AH11">
        <f t="shared" si="3"/>
        <v>6.3213423416538621</v>
      </c>
      <c r="AI11">
        <f t="shared" si="3"/>
        <v>5.5661340393794028</v>
      </c>
      <c r="AJ11">
        <f t="shared" si="3"/>
        <v>3.9040552429779716</v>
      </c>
      <c r="AK11">
        <f t="shared" si="3"/>
        <v>3.3932816217492818</v>
      </c>
      <c r="AL11">
        <f t="shared" si="3"/>
        <v>2.8927298840291917</v>
      </c>
      <c r="AM11">
        <f t="shared" si="3"/>
        <v>5.9782588883492345</v>
      </c>
      <c r="AN11">
        <f t="shared" si="3"/>
        <v>2.8706159792063999</v>
      </c>
      <c r="AO11">
        <f t="shared" si="3"/>
        <v>6.8140851611162141</v>
      </c>
      <c r="AP11">
        <f t="shared" si="3"/>
        <v>3.7472500828207411</v>
      </c>
      <c r="AQ11">
        <f t="shared" si="3"/>
        <v>4.3453817241012773</v>
      </c>
      <c r="AR11">
        <f t="shared" si="3"/>
        <v>5.5861027460361399</v>
      </c>
      <c r="AS11">
        <f t="shared" si="3"/>
        <v>5.2996771290680069</v>
      </c>
      <c r="AT11">
        <f t="shared" si="3"/>
        <v>3.3684513746639824</v>
      </c>
      <c r="AU11">
        <f t="shared" si="3"/>
        <v>4.1432459806597635</v>
      </c>
      <c r="AV11">
        <f t="shared" si="3"/>
        <v>7.1646114433661658</v>
      </c>
      <c r="AW11">
        <f t="shared" si="3"/>
        <v>9.1021220152096181</v>
      </c>
    </row>
    <row r="13" spans="3:49" x14ac:dyDescent="0.35">
      <c r="G13" t="s">
        <v>17</v>
      </c>
    </row>
    <row r="14" spans="3:49" x14ac:dyDescent="0.35">
      <c r="G14" t="s">
        <v>12</v>
      </c>
    </row>
    <row r="15" spans="3:49" x14ac:dyDescent="0.35">
      <c r="G15" t="s">
        <v>18</v>
      </c>
    </row>
    <row r="17" spans="7:49" x14ac:dyDescent="0.35">
      <c r="G17" t="s">
        <v>17</v>
      </c>
    </row>
    <row r="18" spans="7:49" x14ac:dyDescent="0.35">
      <c r="G18" t="s">
        <v>12</v>
      </c>
    </row>
    <row r="19" spans="7:49" x14ac:dyDescent="0.35">
      <c r="G19" t="s">
        <v>19</v>
      </c>
    </row>
    <row r="21" spans="7:49" x14ac:dyDescent="0.35">
      <c r="G21" t="s">
        <v>5</v>
      </c>
      <c r="H21">
        <v>-5.47378675656193</v>
      </c>
      <c r="I21">
        <v>-2.9028733741625099</v>
      </c>
      <c r="J21">
        <v>-0.192456687291888</v>
      </c>
      <c r="K21">
        <v>-0.91330055256133102</v>
      </c>
      <c r="L21">
        <v>-0.69684107163662601</v>
      </c>
      <c r="M21">
        <v>-0.87225929450469597</v>
      </c>
      <c r="N21">
        <v>-0.99793735421965901</v>
      </c>
      <c r="O21">
        <v>-0.41382645969306198</v>
      </c>
      <c r="P21">
        <v>-0.14636483251769999</v>
      </c>
      <c r="Q21">
        <v>0.45873925788542702</v>
      </c>
      <c r="R21">
        <v>-0.216389500440444</v>
      </c>
      <c r="S21">
        <v>-3.8526320645731998E-2</v>
      </c>
      <c r="T21">
        <v>0.58583074771574295</v>
      </c>
      <c r="U21">
        <v>0.86174862105918304</v>
      </c>
      <c r="V21">
        <v>1.53993025370661</v>
      </c>
      <c r="W21">
        <v>0.65360619544474396</v>
      </c>
      <c r="X21">
        <v>1.2087061598125499</v>
      </c>
      <c r="Y21">
        <v>0.76696175994172899</v>
      </c>
      <c r="Z21">
        <v>0.92833064975375101</v>
      </c>
      <c r="AA21">
        <v>0.915334435318783</v>
      </c>
      <c r="AB21">
        <v>0.84588105190026996</v>
      </c>
      <c r="AC21">
        <v>0.43907560871724499</v>
      </c>
      <c r="AD21">
        <v>0.51932999975221095</v>
      </c>
      <c r="AE21">
        <v>0.59698147555659897</v>
      </c>
      <c r="AF21">
        <v>0.57603798520516603</v>
      </c>
      <c r="AG21">
        <v>0.59907609415307905</v>
      </c>
      <c r="AH21">
        <v>0.44282267785526702</v>
      </c>
      <c r="AI21">
        <v>3.0849485412587502E-3</v>
      </c>
      <c r="AJ21">
        <v>0.27549965938689402</v>
      </c>
      <c r="AK21">
        <v>7.8056943366143702E-2</v>
      </c>
      <c r="AL21">
        <v>-9.9616754101251606E-2</v>
      </c>
      <c r="AM21">
        <v>5.9267255902954504E-3</v>
      </c>
      <c r="AN21">
        <v>-0.35017037847759103</v>
      </c>
      <c r="AO21">
        <v>-3.6571482086860702E-2</v>
      </c>
      <c r="AP21">
        <v>0.217223400096659</v>
      </c>
      <c r="AQ21">
        <v>0.43773562242917302</v>
      </c>
      <c r="AR21">
        <v>0.285932535469966</v>
      </c>
      <c r="AS21">
        <v>-0.43214657128338801</v>
      </c>
      <c r="AT21">
        <v>-0.42215148928488999</v>
      </c>
      <c r="AU21">
        <v>-0.29317668562528898</v>
      </c>
      <c r="AV21">
        <v>0.32818387653626502</v>
      </c>
      <c r="AW21">
        <v>0.92835887822471297</v>
      </c>
    </row>
    <row r="22" spans="7:49" x14ac:dyDescent="0.35">
      <c r="G22" t="s">
        <v>13</v>
      </c>
      <c r="H22">
        <f>EXP(H21)</f>
        <v>4.1953154024480764E-3</v>
      </c>
      <c r="I22">
        <f t="shared" ref="I22:AW22" si="4">EXP(I21)</f>
        <v>5.48653446836894E-2</v>
      </c>
      <c r="J22">
        <f t="shared" si="4"/>
        <v>0.82493004738418918</v>
      </c>
      <c r="K22">
        <f t="shared" si="4"/>
        <v>0.40119786174330796</v>
      </c>
      <c r="L22">
        <f t="shared" si="4"/>
        <v>0.49815646147314713</v>
      </c>
      <c r="M22">
        <f t="shared" si="4"/>
        <v>0.41800608276048012</v>
      </c>
      <c r="N22">
        <f t="shared" si="4"/>
        <v>0.36863902925972525</v>
      </c>
      <c r="O22">
        <f t="shared" si="4"/>
        <v>0.6611156715278883</v>
      </c>
      <c r="P22">
        <f t="shared" si="4"/>
        <v>0.863842487857997</v>
      </c>
      <c r="Q22">
        <f t="shared" si="4"/>
        <v>1.5820781345996855</v>
      </c>
      <c r="R22">
        <f t="shared" si="4"/>
        <v>0.80542152872987438</v>
      </c>
      <c r="S22">
        <f t="shared" si="4"/>
        <v>0.9622063785133077</v>
      </c>
      <c r="T22">
        <f t="shared" si="4"/>
        <v>1.7964827898716822</v>
      </c>
      <c r="U22">
        <f t="shared" si="4"/>
        <v>2.3672965812572277</v>
      </c>
      <c r="V22">
        <f t="shared" si="4"/>
        <v>4.6642649444518334</v>
      </c>
      <c r="W22">
        <f t="shared" si="4"/>
        <v>1.9224611140762884</v>
      </c>
      <c r="X22">
        <f t="shared" si="4"/>
        <v>3.3491485850316529</v>
      </c>
      <c r="Y22">
        <f t="shared" si="4"/>
        <v>2.1532143236444878</v>
      </c>
      <c r="Z22">
        <f t="shared" si="4"/>
        <v>2.5302817236304866</v>
      </c>
      <c r="AA22">
        <f t="shared" si="4"/>
        <v>2.4976104013761442</v>
      </c>
      <c r="AB22">
        <f t="shared" si="4"/>
        <v>2.3300297876622067</v>
      </c>
      <c r="AC22">
        <f t="shared" si="4"/>
        <v>1.5512725726830807</v>
      </c>
      <c r="AD22">
        <f t="shared" si="4"/>
        <v>1.6809010682038841</v>
      </c>
      <c r="AE22">
        <f t="shared" si="4"/>
        <v>1.8166269830151287</v>
      </c>
      <c r="AF22">
        <f t="shared" si="4"/>
        <v>1.7789761197919696</v>
      </c>
      <c r="AG22">
        <f t="shared" si="4"/>
        <v>1.8204361116197361</v>
      </c>
      <c r="AH22">
        <f t="shared" si="4"/>
        <v>1.5570962022221995</v>
      </c>
      <c r="AI22">
        <f t="shared" si="4"/>
        <v>1.003089711891981</v>
      </c>
      <c r="AJ22">
        <f t="shared" si="4"/>
        <v>1.3171886561470252</v>
      </c>
      <c r="AK22">
        <f t="shared" si="4"/>
        <v>1.0811842231863107</v>
      </c>
      <c r="AL22">
        <f t="shared" si="4"/>
        <v>0.90518425972403793</v>
      </c>
      <c r="AM22">
        <f t="shared" si="4"/>
        <v>1.0059443233769803</v>
      </c>
      <c r="AN22">
        <f t="shared" si="4"/>
        <v>0.70456803626236364</v>
      </c>
      <c r="AO22">
        <f t="shared" si="4"/>
        <v>0.96408917632692381</v>
      </c>
      <c r="AP22">
        <f t="shared" si="4"/>
        <v>1.2426216729337822</v>
      </c>
      <c r="AQ22">
        <f t="shared" si="4"/>
        <v>1.5491952807887763</v>
      </c>
      <c r="AR22">
        <f t="shared" si="4"/>
        <v>1.331002656754507</v>
      </c>
      <c r="AS22">
        <f t="shared" si="4"/>
        <v>0.64911422820680675</v>
      </c>
      <c r="AT22">
        <f t="shared" si="4"/>
        <v>0.65563471023657738</v>
      </c>
      <c r="AU22">
        <f t="shared" si="4"/>
        <v>0.74589034095271589</v>
      </c>
      <c r="AV22">
        <f t="shared" si="4"/>
        <v>1.3884442511384942</v>
      </c>
      <c r="AW22">
        <f t="shared" si="4"/>
        <v>2.5303531506227803</v>
      </c>
    </row>
    <row r="23" spans="7:49" x14ac:dyDescent="0.35">
      <c r="G23" t="s">
        <v>7</v>
      </c>
      <c r="H23">
        <f>$E$8+H22</f>
        <v>6.9153166797382357E-2</v>
      </c>
      <c r="I23">
        <f t="shared" ref="I23:AW23" si="5">$E$8+I22</f>
        <v>0.11982319607862368</v>
      </c>
      <c r="J23">
        <f t="shared" si="5"/>
        <v>0.88988789877912344</v>
      </c>
      <c r="K23">
        <f t="shared" si="5"/>
        <v>0.46615571313824222</v>
      </c>
      <c r="L23">
        <f t="shared" si="5"/>
        <v>0.56311431286808145</v>
      </c>
      <c r="M23">
        <f t="shared" si="5"/>
        <v>0.48296393415541439</v>
      </c>
      <c r="N23">
        <f t="shared" si="5"/>
        <v>0.43359688065465951</v>
      </c>
      <c r="O23">
        <f t="shared" si="5"/>
        <v>0.72607352292282257</v>
      </c>
      <c r="P23">
        <f t="shared" si="5"/>
        <v>0.92880033925293126</v>
      </c>
      <c r="Q23">
        <f t="shared" si="5"/>
        <v>1.6470359859946198</v>
      </c>
      <c r="R23">
        <f t="shared" si="5"/>
        <v>0.87037938012480864</v>
      </c>
      <c r="S23">
        <f t="shared" si="5"/>
        <v>1.027164229908242</v>
      </c>
      <c r="T23">
        <f t="shared" si="5"/>
        <v>1.8614406412666165</v>
      </c>
      <c r="U23">
        <f t="shared" si="5"/>
        <v>2.432254432652162</v>
      </c>
      <c r="V23">
        <f t="shared" si="5"/>
        <v>4.7292227958467681</v>
      </c>
      <c r="W23">
        <f t="shared" si="5"/>
        <v>1.9874189654712227</v>
      </c>
      <c r="X23">
        <f t="shared" si="5"/>
        <v>3.4141064364265872</v>
      </c>
      <c r="Y23">
        <f t="shared" si="5"/>
        <v>2.2181721750394221</v>
      </c>
      <c r="Z23">
        <f t="shared" si="5"/>
        <v>2.5952395750254209</v>
      </c>
      <c r="AA23">
        <f t="shared" si="5"/>
        <v>2.5625682527710785</v>
      </c>
      <c r="AB23">
        <f t="shared" si="5"/>
        <v>2.394987639057141</v>
      </c>
      <c r="AC23">
        <f t="shared" si="5"/>
        <v>1.616230424078015</v>
      </c>
      <c r="AD23">
        <f t="shared" si="5"/>
        <v>1.7458589195988183</v>
      </c>
      <c r="AE23">
        <f t="shared" si="5"/>
        <v>1.881584834410063</v>
      </c>
      <c r="AF23">
        <f t="shared" si="5"/>
        <v>1.8439339711869038</v>
      </c>
      <c r="AG23">
        <f t="shared" si="5"/>
        <v>1.8853939630146703</v>
      </c>
      <c r="AH23">
        <f t="shared" si="5"/>
        <v>1.6220540536171337</v>
      </c>
      <c r="AI23">
        <f t="shared" si="5"/>
        <v>1.0680475632869153</v>
      </c>
      <c r="AJ23">
        <f t="shared" si="5"/>
        <v>1.3821465075419594</v>
      </c>
      <c r="AK23">
        <f t="shared" si="5"/>
        <v>1.146142074581245</v>
      </c>
      <c r="AL23">
        <f t="shared" si="5"/>
        <v>0.97014211111897219</v>
      </c>
      <c r="AM23">
        <f t="shared" si="5"/>
        <v>1.0709021747719145</v>
      </c>
      <c r="AN23">
        <f t="shared" si="5"/>
        <v>0.7695258876572979</v>
      </c>
      <c r="AO23">
        <f t="shared" si="5"/>
        <v>1.0290470277218582</v>
      </c>
      <c r="AP23">
        <f t="shared" si="5"/>
        <v>1.3075795243287165</v>
      </c>
      <c r="AQ23">
        <f t="shared" si="5"/>
        <v>1.6141531321837106</v>
      </c>
      <c r="AR23">
        <f t="shared" si="5"/>
        <v>1.3959605081494413</v>
      </c>
      <c r="AS23">
        <f t="shared" si="5"/>
        <v>0.71407207960174102</v>
      </c>
      <c r="AT23">
        <f t="shared" si="5"/>
        <v>0.72059256163151164</v>
      </c>
      <c r="AU23">
        <f t="shared" si="5"/>
        <v>0.81084819234765015</v>
      </c>
      <c r="AV23">
        <f t="shared" si="5"/>
        <v>1.4534021025334285</v>
      </c>
      <c r="AW23">
        <f t="shared" si="5"/>
        <v>2.5953110020177146</v>
      </c>
    </row>
    <row r="25" spans="7:49" x14ac:dyDescent="0.35">
      <c r="H25">
        <v>-8.6079307249438308</v>
      </c>
      <c r="I25">
        <v>-6.4962196223940003</v>
      </c>
      <c r="J25">
        <v>-3.5916815752471001</v>
      </c>
      <c r="K25">
        <v>-0.79318579064965899</v>
      </c>
      <c r="L25">
        <v>0.261612247056345</v>
      </c>
      <c r="M25">
        <v>0.90285495779234903</v>
      </c>
      <c r="N25">
        <v>0.53272478642756904</v>
      </c>
      <c r="O25">
        <v>0.69848403512425405</v>
      </c>
      <c r="P25">
        <v>0.833377520391682</v>
      </c>
      <c r="Q25">
        <v>0.79609528876455005</v>
      </c>
      <c r="R25">
        <v>-0.10838374440262299</v>
      </c>
      <c r="S25">
        <v>-0.45153740026645001</v>
      </c>
      <c r="T25">
        <v>0.10022147305648101</v>
      </c>
      <c r="U25">
        <v>-0.50678826445982295</v>
      </c>
      <c r="V25">
        <v>0.42464699624889701</v>
      </c>
      <c r="W25">
        <v>-0.39346828060281402</v>
      </c>
      <c r="X25">
        <v>1.8498372849737199</v>
      </c>
      <c r="Y25">
        <v>-0.767335911318342</v>
      </c>
      <c r="Z25">
        <v>1.11804448136932</v>
      </c>
      <c r="AA25">
        <v>1.08087817949303</v>
      </c>
      <c r="AB25">
        <v>1.5194422039158799</v>
      </c>
      <c r="AC25">
        <v>1.4086378121476599</v>
      </c>
      <c r="AD25">
        <v>0.32838766338946301</v>
      </c>
      <c r="AE25">
        <v>1.1231536975706</v>
      </c>
      <c r="AF25">
        <v>2.85069258143541E-2</v>
      </c>
      <c r="AG25">
        <v>1.40637694935475</v>
      </c>
      <c r="AH25">
        <v>1.51826923889907</v>
      </c>
      <c r="AI25">
        <v>1.29055952584663</v>
      </c>
      <c r="AJ25">
        <v>0.89630938953433703</v>
      </c>
      <c r="AK25">
        <v>0.74707684287974896</v>
      </c>
      <c r="AL25">
        <v>0.67250652075603901</v>
      </c>
      <c r="AM25">
        <v>1.38896904695505</v>
      </c>
      <c r="AN25">
        <v>0.17413563052700901</v>
      </c>
      <c r="AO25">
        <v>1.4853960347444799</v>
      </c>
      <c r="AP25">
        <v>0.78543808545439397</v>
      </c>
      <c r="AQ25">
        <v>1.0961685767647</v>
      </c>
      <c r="AR25">
        <v>1.28295541518922</v>
      </c>
      <c r="AS25">
        <v>1.2376086174270799</v>
      </c>
      <c r="AT25">
        <v>-0.27841551903276002</v>
      </c>
      <c r="AU25">
        <v>-1.5318248127605101</v>
      </c>
      <c r="AV25">
        <v>-1.0182218901884501</v>
      </c>
      <c r="AW25">
        <v>-2.4436818545572399</v>
      </c>
    </row>
    <row r="26" spans="7:49" x14ac:dyDescent="0.35">
      <c r="G26" t="s">
        <v>9</v>
      </c>
      <c r="H26">
        <f>EXP(H25)</f>
        <v>1.8265147577762404E-4</v>
      </c>
      <c r="I26">
        <f t="shared" ref="I26:AW26" si="6">EXP(I25)</f>
        <v>1.5091335174013685E-3</v>
      </c>
      <c r="J26">
        <f t="shared" si="6"/>
        <v>2.755196075192063E-2</v>
      </c>
      <c r="K26">
        <f t="shared" si="6"/>
        <v>0.45240124142825122</v>
      </c>
      <c r="L26">
        <f t="shared" si="6"/>
        <v>1.299022744868003</v>
      </c>
      <c r="M26">
        <f t="shared" si="6"/>
        <v>2.4666352076181028</v>
      </c>
      <c r="N26">
        <f t="shared" si="6"/>
        <v>1.7035678488749886</v>
      </c>
      <c r="O26">
        <f t="shared" si="6"/>
        <v>2.0107022418810594</v>
      </c>
      <c r="P26">
        <f t="shared" si="6"/>
        <v>2.3010775664951311</v>
      </c>
      <c r="Q26">
        <f t="shared" si="6"/>
        <v>2.2168677779180679</v>
      </c>
      <c r="R26">
        <f t="shared" si="6"/>
        <v>0.89728320294842656</v>
      </c>
      <c r="S26">
        <f t="shared" si="6"/>
        <v>0.6366486150943691</v>
      </c>
      <c r="T26">
        <f t="shared" si="6"/>
        <v>1.1054157107632996</v>
      </c>
      <c r="U26">
        <f t="shared" si="6"/>
        <v>0.60242731225240331</v>
      </c>
      <c r="V26">
        <f t="shared" si="6"/>
        <v>1.529050563798765</v>
      </c>
      <c r="W26">
        <f t="shared" si="6"/>
        <v>0.67471271871816629</v>
      </c>
      <c r="X26">
        <f t="shared" si="6"/>
        <v>6.3587847685883716</v>
      </c>
      <c r="Y26">
        <f t="shared" si="6"/>
        <v>0.46424822073324201</v>
      </c>
      <c r="Z26">
        <f t="shared" si="6"/>
        <v>3.0588666800628093</v>
      </c>
      <c r="AA26">
        <f t="shared" si="6"/>
        <v>2.9472666440605582</v>
      </c>
      <c r="AB26">
        <f t="shared" si="6"/>
        <v>4.5696755369933673</v>
      </c>
      <c r="AC26">
        <f t="shared" si="6"/>
        <v>4.0903797417879018</v>
      </c>
      <c r="AD26">
        <f t="shared" si="6"/>
        <v>1.3887272266556405</v>
      </c>
      <c r="AE26">
        <f t="shared" si="6"/>
        <v>3.0745350838091725</v>
      </c>
      <c r="AF26">
        <f t="shared" si="6"/>
        <v>1.0289171368989229</v>
      </c>
      <c r="AG26">
        <f t="shared" si="6"/>
        <v>4.0811424005361143</v>
      </c>
      <c r="AH26">
        <f t="shared" si="6"/>
        <v>4.5643186098085868</v>
      </c>
      <c r="AI26">
        <f t="shared" si="6"/>
        <v>3.6348197624888585</v>
      </c>
      <c r="AJ26">
        <f t="shared" si="6"/>
        <v>2.4505424042278032</v>
      </c>
      <c r="AK26">
        <f t="shared" si="6"/>
        <v>2.1108207288551335</v>
      </c>
      <c r="AL26">
        <f t="shared" si="6"/>
        <v>1.9591418010655774</v>
      </c>
      <c r="AM26">
        <f t="shared" si="6"/>
        <v>4.0107130639941744</v>
      </c>
      <c r="AN26">
        <f t="shared" si="6"/>
        <v>1.1902169846303365</v>
      </c>
      <c r="AO26">
        <f t="shared" si="6"/>
        <v>4.4167142387527818</v>
      </c>
      <c r="AP26">
        <f t="shared" si="6"/>
        <v>2.1933676127369148</v>
      </c>
      <c r="AQ26">
        <f t="shared" si="6"/>
        <v>2.9926778145894355</v>
      </c>
      <c r="AR26">
        <f t="shared" si="6"/>
        <v>3.6072850121167406</v>
      </c>
      <c r="AS26">
        <f t="shared" si="6"/>
        <v>3.4473596438994143</v>
      </c>
      <c r="AT26">
        <f t="shared" si="6"/>
        <v>0.75698221563843882</v>
      </c>
      <c r="AU26">
        <f t="shared" si="6"/>
        <v>0.21614089057355046</v>
      </c>
      <c r="AV26">
        <f t="shared" si="6"/>
        <v>0.36123668795412517</v>
      </c>
      <c r="AW26">
        <f t="shared" si="6"/>
        <v>8.6840527937986536E-2</v>
      </c>
    </row>
    <row r="27" spans="7:49" x14ac:dyDescent="0.35">
      <c r="H27">
        <f>$E$5+H26</f>
        <v>0.79597737568972637</v>
      </c>
      <c r="I27">
        <f t="shared" ref="I27:AW27" si="7">$E$5+I26</f>
        <v>0.79730385773135004</v>
      </c>
      <c r="J27">
        <f t="shared" si="7"/>
        <v>0.82334668496586938</v>
      </c>
      <c r="K27">
        <f t="shared" si="7"/>
        <v>1.2481959656421999</v>
      </c>
      <c r="L27">
        <f t="shared" si="7"/>
        <v>2.0948174690819519</v>
      </c>
      <c r="M27">
        <f t="shared" si="7"/>
        <v>3.2624299318320515</v>
      </c>
      <c r="N27">
        <f t="shared" si="7"/>
        <v>2.4993625730889373</v>
      </c>
      <c r="O27">
        <f t="shared" si="7"/>
        <v>2.8064969660950081</v>
      </c>
      <c r="P27">
        <f t="shared" si="7"/>
        <v>3.0968722907090798</v>
      </c>
      <c r="Q27">
        <f t="shared" si="7"/>
        <v>3.0126625021320166</v>
      </c>
      <c r="R27">
        <f t="shared" si="7"/>
        <v>1.6930779271623753</v>
      </c>
      <c r="S27">
        <f t="shared" si="7"/>
        <v>1.4324433393083178</v>
      </c>
      <c r="T27">
        <f t="shared" si="7"/>
        <v>1.9012104349772483</v>
      </c>
      <c r="U27">
        <f t="shared" si="7"/>
        <v>1.398222036466352</v>
      </c>
      <c r="V27">
        <f t="shared" si="7"/>
        <v>2.324845288012714</v>
      </c>
      <c r="W27">
        <f t="shared" si="7"/>
        <v>1.470507442932115</v>
      </c>
      <c r="X27">
        <f t="shared" si="7"/>
        <v>7.1545794928023199</v>
      </c>
      <c r="Y27">
        <f t="shared" si="7"/>
        <v>1.2600429449471906</v>
      </c>
      <c r="Z27">
        <f t="shared" si="7"/>
        <v>3.854661404276758</v>
      </c>
      <c r="AA27">
        <f t="shared" si="7"/>
        <v>3.7430613682745069</v>
      </c>
      <c r="AB27">
        <f t="shared" si="7"/>
        <v>5.3654702612073155</v>
      </c>
      <c r="AC27">
        <f t="shared" si="7"/>
        <v>4.8861744660018509</v>
      </c>
      <c r="AD27">
        <f t="shared" si="7"/>
        <v>2.1845219508695894</v>
      </c>
      <c r="AE27">
        <f t="shared" si="7"/>
        <v>3.8703298080231212</v>
      </c>
      <c r="AF27">
        <f t="shared" si="7"/>
        <v>1.8247118611128716</v>
      </c>
      <c r="AG27">
        <f t="shared" si="7"/>
        <v>4.8769371247500626</v>
      </c>
      <c r="AH27">
        <f t="shared" si="7"/>
        <v>5.360113334022536</v>
      </c>
      <c r="AI27">
        <f t="shared" si="7"/>
        <v>4.4306144867028072</v>
      </c>
      <c r="AJ27">
        <f t="shared" si="7"/>
        <v>3.2463371284417519</v>
      </c>
      <c r="AK27">
        <f t="shared" si="7"/>
        <v>2.9066154530690822</v>
      </c>
      <c r="AL27">
        <f t="shared" si="7"/>
        <v>2.7549365252795264</v>
      </c>
      <c r="AM27">
        <f t="shared" si="7"/>
        <v>4.8065077882081226</v>
      </c>
      <c r="AN27">
        <f t="shared" si="7"/>
        <v>1.9860117088442852</v>
      </c>
      <c r="AO27">
        <f t="shared" si="7"/>
        <v>5.2125089629667301</v>
      </c>
      <c r="AP27">
        <f t="shared" si="7"/>
        <v>2.9891623369508635</v>
      </c>
      <c r="AQ27">
        <f t="shared" si="7"/>
        <v>3.7884725388033842</v>
      </c>
      <c r="AR27">
        <f t="shared" si="7"/>
        <v>4.4030797363306888</v>
      </c>
      <c r="AS27">
        <f t="shared" si="7"/>
        <v>4.2431543681133626</v>
      </c>
      <c r="AT27">
        <f t="shared" si="7"/>
        <v>1.5527769398523876</v>
      </c>
      <c r="AU27">
        <f t="shared" si="7"/>
        <v>1.0119356147874992</v>
      </c>
      <c r="AV27">
        <f t="shared" si="7"/>
        <v>1.1570314121680738</v>
      </c>
      <c r="AW27">
        <f t="shared" si="7"/>
        <v>0.88263525215193528</v>
      </c>
    </row>
    <row r="29" spans="7:49" x14ac:dyDescent="0.35">
      <c r="G29" t="s">
        <v>11</v>
      </c>
      <c r="H29">
        <v>-3.8377468043523302</v>
      </c>
      <c r="I29">
        <v>-1.70133287507399</v>
      </c>
      <c r="J29">
        <v>-0.83245469842164099</v>
      </c>
      <c r="K29">
        <v>-1.2910934108682</v>
      </c>
      <c r="L29">
        <v>-0.96141686221826395</v>
      </c>
      <c r="M29">
        <v>-1.0455311729908301</v>
      </c>
      <c r="N29">
        <v>-1.10424051989006</v>
      </c>
      <c r="O29">
        <v>-0.45091778577319103</v>
      </c>
      <c r="P29">
        <v>-0.18944009538433099</v>
      </c>
      <c r="Q29">
        <v>0.33814977820103498</v>
      </c>
      <c r="R29">
        <v>-0.223875713806477</v>
      </c>
      <c r="S29">
        <v>-0.1116943705541</v>
      </c>
      <c r="T29">
        <v>0.48963857314863402</v>
      </c>
      <c r="U29">
        <v>0.77876512672755704</v>
      </c>
      <c r="V29">
        <v>1.2749059179984099</v>
      </c>
      <c r="W29">
        <v>0.65870983638247504</v>
      </c>
      <c r="X29">
        <v>1.28340587647643</v>
      </c>
      <c r="Y29">
        <v>0.76055250530262197</v>
      </c>
      <c r="Z29">
        <v>0.97376685354274295</v>
      </c>
      <c r="AA29">
        <v>0.97564989897810095</v>
      </c>
      <c r="AB29">
        <v>0.83094546160389104</v>
      </c>
      <c r="AC29">
        <v>0.44170797554219099</v>
      </c>
      <c r="AD29">
        <v>0.50713234217082004</v>
      </c>
      <c r="AE29">
        <v>0.59870314670243696</v>
      </c>
      <c r="AF29">
        <v>0.59613557420936203</v>
      </c>
      <c r="AG29">
        <v>0.67682611566311601</v>
      </c>
      <c r="AH29">
        <v>0.39297876937696102</v>
      </c>
      <c r="AI29">
        <v>-3.1822953813848497E-2</v>
      </c>
      <c r="AJ29">
        <v>0.30326495847989199</v>
      </c>
      <c r="AK29">
        <v>4.8036171550193803E-2</v>
      </c>
      <c r="AL29">
        <v>-0.21679042146670999</v>
      </c>
      <c r="AM29">
        <v>-0.25825963161176402</v>
      </c>
      <c r="AN29">
        <v>-0.73429857077121996</v>
      </c>
      <c r="AO29">
        <v>-0.16355586194742699</v>
      </c>
      <c r="AP29">
        <v>9.7391490558187604E-2</v>
      </c>
      <c r="AQ29">
        <v>0.22330635966930301</v>
      </c>
      <c r="AR29">
        <v>0.135724480880895</v>
      </c>
      <c r="AS29">
        <v>-0.43867764347363902</v>
      </c>
      <c r="AT29">
        <v>-0.22112837718037601</v>
      </c>
      <c r="AU29">
        <v>-0.14545329081476199</v>
      </c>
      <c r="AV29">
        <v>0.61212975950717397</v>
      </c>
      <c r="AW29">
        <v>0.96190408708845299</v>
      </c>
    </row>
    <row r="30" spans="7:49" x14ac:dyDescent="0.35">
      <c r="G30" t="s">
        <v>14</v>
      </c>
      <c r="H30">
        <f>EXP(H29)</f>
        <v>2.1542085235426486E-2</v>
      </c>
      <c r="I30">
        <f t="shared" ref="I30:AW30" si="8">EXP(I29)</f>
        <v>0.18244019193877523</v>
      </c>
      <c r="J30">
        <f t="shared" si="8"/>
        <v>0.43498022946953213</v>
      </c>
      <c r="K30">
        <f t="shared" si="8"/>
        <v>0.27496996351349146</v>
      </c>
      <c r="L30">
        <f t="shared" si="8"/>
        <v>0.38235076365833848</v>
      </c>
      <c r="M30">
        <f t="shared" si="8"/>
        <v>0.35150505978773355</v>
      </c>
      <c r="N30">
        <f t="shared" si="8"/>
        <v>0.33146252586630731</v>
      </c>
      <c r="O30">
        <f t="shared" si="8"/>
        <v>0.63704321404038322</v>
      </c>
      <c r="P30">
        <f t="shared" si="8"/>
        <v>0.82742228182664612</v>
      </c>
      <c r="Q30">
        <f t="shared" si="8"/>
        <v>1.4023505292157703</v>
      </c>
      <c r="R30">
        <f t="shared" si="8"/>
        <v>0.79941448437863061</v>
      </c>
      <c r="S30">
        <f t="shared" si="8"/>
        <v>0.89431754551169163</v>
      </c>
      <c r="T30">
        <f t="shared" si="8"/>
        <v>1.6317263636449424</v>
      </c>
      <c r="U30">
        <f t="shared" si="8"/>
        <v>2.1787800862951445</v>
      </c>
      <c r="V30">
        <f t="shared" si="8"/>
        <v>3.5783647345476268</v>
      </c>
      <c r="W30">
        <f t="shared" si="8"/>
        <v>1.9322977452848047</v>
      </c>
      <c r="X30">
        <f t="shared" si="8"/>
        <v>3.6089103204083814</v>
      </c>
      <c r="Y30">
        <f t="shared" si="8"/>
        <v>2.1394579558745832</v>
      </c>
      <c r="Z30">
        <f t="shared" si="8"/>
        <v>2.6478999484494268</v>
      </c>
      <c r="AA30">
        <f t="shared" si="8"/>
        <v>2.6528907618501081</v>
      </c>
      <c r="AB30">
        <f t="shared" si="8"/>
        <v>2.2954880103978041</v>
      </c>
      <c r="AC30">
        <f t="shared" si="8"/>
        <v>1.5553614705182479</v>
      </c>
      <c r="AD30">
        <f t="shared" si="8"/>
        <v>1.6605225503013068</v>
      </c>
      <c r="AE30">
        <f t="shared" si="8"/>
        <v>1.8197573111991616</v>
      </c>
      <c r="AF30">
        <f t="shared" si="8"/>
        <v>1.8150909455624371</v>
      </c>
      <c r="AG30">
        <f t="shared" si="8"/>
        <v>1.9676228040732231</v>
      </c>
      <c r="AH30">
        <f t="shared" si="8"/>
        <v>1.4813869382277418</v>
      </c>
      <c r="AI30">
        <f t="shared" si="8"/>
        <v>0.968678067655803</v>
      </c>
      <c r="AJ30">
        <f t="shared" si="8"/>
        <v>1.3542732430893143</v>
      </c>
      <c r="AK30">
        <f t="shared" si="8"/>
        <v>1.0492086061398571</v>
      </c>
      <c r="AL30">
        <f t="shared" si="8"/>
        <v>0.80509868302613918</v>
      </c>
      <c r="AM30">
        <f t="shared" si="8"/>
        <v>0.77239466799909284</v>
      </c>
      <c r="AN30">
        <f t="shared" si="8"/>
        <v>0.47984191610581678</v>
      </c>
      <c r="AO30">
        <f t="shared" si="8"/>
        <v>0.84911906423217154</v>
      </c>
      <c r="AP30">
        <f t="shared" si="8"/>
        <v>1.1022918260029806</v>
      </c>
      <c r="AQ30">
        <f t="shared" si="8"/>
        <v>1.2502035270113661</v>
      </c>
      <c r="AR30">
        <f t="shared" si="8"/>
        <v>1.1453662798095765</v>
      </c>
      <c r="AS30">
        <f t="shared" si="8"/>
        <v>0.64488863018572617</v>
      </c>
      <c r="AT30">
        <f t="shared" si="8"/>
        <v>0.80161376476946278</v>
      </c>
      <c r="AU30">
        <f t="shared" si="8"/>
        <v>0.8646302753064572</v>
      </c>
      <c r="AV30">
        <f t="shared" si="8"/>
        <v>1.8443552519991657</v>
      </c>
      <c r="AW30">
        <f t="shared" si="8"/>
        <v>2.6166741083784579</v>
      </c>
    </row>
    <row r="31" spans="7:49" x14ac:dyDescent="0.35">
      <c r="G31" t="s">
        <v>15</v>
      </c>
      <c r="H31">
        <f>$E$8+H30</f>
        <v>8.6499936630360763E-2</v>
      </c>
      <c r="I31">
        <f t="shared" ref="I31:AW31" si="9">$E$8+I30</f>
        <v>0.24739804333370952</v>
      </c>
      <c r="J31">
        <f t="shared" si="9"/>
        <v>0.49993808086446639</v>
      </c>
      <c r="K31">
        <f t="shared" si="9"/>
        <v>0.33992781490842572</v>
      </c>
      <c r="L31">
        <f t="shared" si="9"/>
        <v>0.44730861505327274</v>
      </c>
      <c r="M31">
        <f t="shared" si="9"/>
        <v>0.41646291118266782</v>
      </c>
      <c r="N31">
        <f t="shared" si="9"/>
        <v>0.39642037726124157</v>
      </c>
      <c r="O31">
        <f t="shared" si="9"/>
        <v>0.70200106543531748</v>
      </c>
      <c r="P31">
        <f t="shared" si="9"/>
        <v>0.89238013322158038</v>
      </c>
      <c r="Q31">
        <f t="shared" si="9"/>
        <v>1.4673083806107046</v>
      </c>
      <c r="R31">
        <f t="shared" si="9"/>
        <v>0.86437233577356487</v>
      </c>
      <c r="S31">
        <f t="shared" si="9"/>
        <v>0.95927539690662589</v>
      </c>
      <c r="T31">
        <f t="shared" si="9"/>
        <v>1.6966842150398767</v>
      </c>
      <c r="U31">
        <f t="shared" si="9"/>
        <v>2.2437379376900788</v>
      </c>
      <c r="V31">
        <f t="shared" si="9"/>
        <v>3.6433225859425611</v>
      </c>
      <c r="W31">
        <f t="shared" si="9"/>
        <v>1.997255596679739</v>
      </c>
      <c r="X31">
        <f t="shared" si="9"/>
        <v>3.6738681718033157</v>
      </c>
      <c r="Y31">
        <f t="shared" si="9"/>
        <v>2.2044158072695175</v>
      </c>
      <c r="Z31">
        <f t="shared" si="9"/>
        <v>2.712857799844361</v>
      </c>
      <c r="AA31">
        <f t="shared" si="9"/>
        <v>2.7178486132450423</v>
      </c>
      <c r="AB31">
        <f t="shared" si="9"/>
        <v>2.3604458617927384</v>
      </c>
      <c r="AC31">
        <f t="shared" si="9"/>
        <v>1.6203193219131822</v>
      </c>
      <c r="AD31">
        <f t="shared" si="9"/>
        <v>1.7254804016962411</v>
      </c>
      <c r="AE31">
        <f t="shared" si="9"/>
        <v>1.8847151625940959</v>
      </c>
      <c r="AF31">
        <f t="shared" si="9"/>
        <v>1.8800487969573714</v>
      </c>
      <c r="AG31">
        <f t="shared" si="9"/>
        <v>2.0325806554681574</v>
      </c>
      <c r="AH31">
        <f t="shared" si="9"/>
        <v>1.5463447896226761</v>
      </c>
      <c r="AI31">
        <f t="shared" si="9"/>
        <v>1.0336359190507374</v>
      </c>
      <c r="AJ31">
        <f t="shared" si="9"/>
        <v>1.4192310944842486</v>
      </c>
      <c r="AK31">
        <f t="shared" si="9"/>
        <v>1.1141664575347914</v>
      </c>
      <c r="AL31">
        <f t="shared" si="9"/>
        <v>0.87005653442107345</v>
      </c>
      <c r="AM31">
        <f t="shared" si="9"/>
        <v>0.83735251939402711</v>
      </c>
      <c r="AN31">
        <f t="shared" si="9"/>
        <v>0.5447997675007511</v>
      </c>
      <c r="AO31">
        <f t="shared" si="9"/>
        <v>0.9140769156271058</v>
      </c>
      <c r="AP31">
        <f t="shared" si="9"/>
        <v>1.1672496773979149</v>
      </c>
      <c r="AQ31">
        <f t="shared" si="9"/>
        <v>1.3151613784063003</v>
      </c>
      <c r="AR31">
        <f t="shared" si="9"/>
        <v>1.2103241312045108</v>
      </c>
      <c r="AS31">
        <f t="shared" si="9"/>
        <v>0.70984648158066044</v>
      </c>
      <c r="AT31">
        <f t="shared" si="9"/>
        <v>0.86657161616439704</v>
      </c>
      <c r="AU31">
        <f t="shared" si="9"/>
        <v>0.92958812670139146</v>
      </c>
      <c r="AV31">
        <f t="shared" si="9"/>
        <v>1.9093131033941</v>
      </c>
      <c r="AW31">
        <f t="shared" si="9"/>
        <v>2.6816319597733922</v>
      </c>
    </row>
    <row r="33" spans="7:49" x14ac:dyDescent="0.35">
      <c r="G33" t="s">
        <v>10</v>
      </c>
      <c r="H33">
        <v>-7.15232373883926</v>
      </c>
      <c r="I33">
        <v>-5.2209221152609997</v>
      </c>
      <c r="J33">
        <v>-4.2822313844818796</v>
      </c>
      <c r="K33">
        <v>-2.8882294297763398</v>
      </c>
      <c r="L33">
        <v>-2.0092806911338998</v>
      </c>
      <c r="M33">
        <v>0.65124132015618097</v>
      </c>
      <c r="N33">
        <v>0.36910495282970301</v>
      </c>
      <c r="O33">
        <v>0.26005229138073299</v>
      </c>
      <c r="P33">
        <v>0.29516999480745498</v>
      </c>
      <c r="Q33">
        <v>-2.7433200269040101E-2</v>
      </c>
      <c r="R33">
        <v>-1.52923025390643</v>
      </c>
      <c r="S33">
        <v>-2.2017381113288801</v>
      </c>
      <c r="T33">
        <v>-1.1697762337462401</v>
      </c>
      <c r="U33">
        <v>-2.0614794506798799</v>
      </c>
      <c r="V33">
        <v>-1.86934118724923</v>
      </c>
      <c r="W33">
        <v>-0.43634742895990503</v>
      </c>
      <c r="X33">
        <v>-6.7185954855299906E-2</v>
      </c>
      <c r="Y33">
        <v>-4.0463771575559999</v>
      </c>
      <c r="Z33">
        <v>1.15035669515048</v>
      </c>
      <c r="AA33">
        <v>1.3285222621548001</v>
      </c>
      <c r="AB33">
        <v>1.8448587431565</v>
      </c>
      <c r="AC33">
        <v>1.70268725065188</v>
      </c>
      <c r="AD33">
        <v>0.67310395116625099</v>
      </c>
      <c r="AE33">
        <v>1.6278703618755299</v>
      </c>
      <c r="AF33">
        <v>0.74899581117065595</v>
      </c>
      <c r="AG33">
        <v>1.90035586139197</v>
      </c>
      <c r="AH33">
        <v>1.6597220500882399</v>
      </c>
      <c r="AI33">
        <v>1.53018168259459</v>
      </c>
      <c r="AJ33">
        <v>1.10163134166707</v>
      </c>
      <c r="AK33">
        <v>0.92295365028855703</v>
      </c>
      <c r="AL33">
        <v>0.70371923453419005</v>
      </c>
      <c r="AM33">
        <v>1.6112571325615299</v>
      </c>
      <c r="AN33">
        <v>0.69033225279117305</v>
      </c>
      <c r="AO33">
        <v>1.7223576359914601</v>
      </c>
      <c r="AP33">
        <v>1.0872895862504</v>
      </c>
      <c r="AQ33">
        <v>1.2532765220709099</v>
      </c>
      <c r="AR33">
        <v>1.5365062880479801</v>
      </c>
      <c r="AS33">
        <v>1.4523359414311801</v>
      </c>
      <c r="AT33">
        <v>0.85726784460552796</v>
      </c>
      <c r="AU33">
        <v>1.07259205465237</v>
      </c>
      <c r="AV33">
        <v>1.8688648307509299</v>
      </c>
      <c r="AW33">
        <v>3.3392888036999699</v>
      </c>
    </row>
    <row r="34" spans="7:49" x14ac:dyDescent="0.35">
      <c r="H34">
        <f>EXP(H33)</f>
        <v>7.8304237956093418E-4</v>
      </c>
      <c r="I34">
        <f t="shared" ref="I34:AW34" si="10">EXP(I33)</f>
        <v>5.4023452439424221E-3</v>
      </c>
      <c r="J34">
        <f t="shared" si="10"/>
        <v>1.3811808221331759E-2</v>
      </c>
      <c r="K34">
        <f t="shared" si="10"/>
        <v>5.5674701363573158E-2</v>
      </c>
      <c r="L34">
        <f t="shared" si="10"/>
        <v>0.13408508858198545</v>
      </c>
      <c r="M34">
        <f t="shared" si="10"/>
        <v>1.9179201048709638</v>
      </c>
      <c r="N34">
        <f t="shared" si="10"/>
        <v>1.4464394036170871</v>
      </c>
      <c r="O34">
        <f t="shared" si="10"/>
        <v>1.2969979067039039</v>
      </c>
      <c r="P34">
        <f t="shared" si="10"/>
        <v>1.3433547026010995</v>
      </c>
      <c r="Q34">
        <f t="shared" si="10"/>
        <v>0.97293967249113722</v>
      </c>
      <c r="R34">
        <f t="shared" si="10"/>
        <v>0.21670240896617607</v>
      </c>
      <c r="S34">
        <f t="shared" si="10"/>
        <v>0.11061073741046926</v>
      </c>
      <c r="T34">
        <f t="shared" si="10"/>
        <v>0.31043639868404627</v>
      </c>
      <c r="U34">
        <f t="shared" si="10"/>
        <v>0.1272655474476331</v>
      </c>
      <c r="V34">
        <f t="shared" si="10"/>
        <v>0.15422523390355025</v>
      </c>
      <c r="W34">
        <f t="shared" si="10"/>
        <v>0.64639311123254739</v>
      </c>
      <c r="X34">
        <f t="shared" si="10"/>
        <v>0.93502131341658745</v>
      </c>
      <c r="Y34">
        <f t="shared" si="10"/>
        <v>1.7485607630233095E-2</v>
      </c>
      <c r="Z34">
        <f t="shared" si="10"/>
        <v>3.1593196227195248</v>
      </c>
      <c r="AA34">
        <f t="shared" si="10"/>
        <v>3.7754601229773397</v>
      </c>
      <c r="AB34">
        <f t="shared" si="10"/>
        <v>6.3272059661312081</v>
      </c>
      <c r="AC34">
        <f t="shared" si="10"/>
        <v>5.4886770426920997</v>
      </c>
      <c r="AD34">
        <f t="shared" si="10"/>
        <v>1.9603126016565664</v>
      </c>
      <c r="AE34">
        <f t="shared" si="10"/>
        <v>5.0930168780927731</v>
      </c>
      <c r="AF34">
        <f t="shared" si="10"/>
        <v>2.1148752158734077</v>
      </c>
      <c r="AG34">
        <f t="shared" si="10"/>
        <v>6.6882741173741964</v>
      </c>
      <c r="AH34">
        <f t="shared" si="10"/>
        <v>5.2578492226000071</v>
      </c>
      <c r="AI34">
        <f t="shared" si="10"/>
        <v>4.6190159408714431</v>
      </c>
      <c r="AJ34">
        <f t="shared" si="10"/>
        <v>3.0090708447876402</v>
      </c>
      <c r="AK34">
        <f t="shared" si="10"/>
        <v>2.516712912592495</v>
      </c>
      <c r="AL34">
        <f t="shared" si="10"/>
        <v>2.0212562711905311</v>
      </c>
      <c r="AM34">
        <f t="shared" si="10"/>
        <v>5.009104379561462</v>
      </c>
      <c r="AN34">
        <f t="shared" si="10"/>
        <v>1.9943780608510362</v>
      </c>
      <c r="AO34">
        <f t="shared" si="10"/>
        <v>5.5977102824373599</v>
      </c>
      <c r="AP34">
        <f t="shared" si="10"/>
        <v>2.9662234743762577</v>
      </c>
      <c r="AQ34">
        <f t="shared" si="10"/>
        <v>3.5017978991336465</v>
      </c>
      <c r="AR34">
        <f t="shared" si="10"/>
        <v>4.6483219711315229</v>
      </c>
      <c r="AS34">
        <f t="shared" si="10"/>
        <v>4.2730845411554963</v>
      </c>
      <c r="AT34">
        <f t="shared" si="10"/>
        <v>2.3567129835523581</v>
      </c>
      <c r="AU34">
        <f t="shared" si="10"/>
        <v>2.9229461252899887</v>
      </c>
      <c r="AV34">
        <f t="shared" si="10"/>
        <v>6.4809352635932962</v>
      </c>
      <c r="AW34">
        <f t="shared" si="10"/>
        <v>28.199064501833746</v>
      </c>
    </row>
    <row r="35" spans="7:49" x14ac:dyDescent="0.35">
      <c r="H35">
        <f>$E$5+H34</f>
        <v>0.79657776659350965</v>
      </c>
      <c r="I35">
        <f t="shared" ref="I35:AW35" si="11">$E$5+I34</f>
        <v>0.80119706945789115</v>
      </c>
      <c r="J35">
        <f t="shared" si="11"/>
        <v>0.80960653243528047</v>
      </c>
      <c r="K35">
        <f t="shared" si="11"/>
        <v>0.85146942557752181</v>
      </c>
      <c r="L35">
        <f t="shared" si="11"/>
        <v>0.92987981279593412</v>
      </c>
      <c r="M35">
        <f t="shared" si="11"/>
        <v>2.7137148290849122</v>
      </c>
      <c r="N35">
        <f t="shared" si="11"/>
        <v>2.2422341278310358</v>
      </c>
      <c r="O35">
        <f t="shared" si="11"/>
        <v>2.0927926309178524</v>
      </c>
      <c r="P35">
        <f t="shared" si="11"/>
        <v>2.1391494268150479</v>
      </c>
      <c r="Q35">
        <f t="shared" si="11"/>
        <v>1.7687343967050859</v>
      </c>
      <c r="R35">
        <f t="shared" si="11"/>
        <v>1.0124971331801247</v>
      </c>
      <c r="S35">
        <f t="shared" si="11"/>
        <v>0.90640546162441793</v>
      </c>
      <c r="T35">
        <f t="shared" si="11"/>
        <v>1.1062311228979951</v>
      </c>
      <c r="U35">
        <f t="shared" si="11"/>
        <v>0.92306027166158178</v>
      </c>
      <c r="V35">
        <f t="shared" si="11"/>
        <v>0.95001995811749895</v>
      </c>
      <c r="W35">
        <f t="shared" si="11"/>
        <v>1.4421878354464961</v>
      </c>
      <c r="X35">
        <f t="shared" si="11"/>
        <v>1.7308160376305362</v>
      </c>
      <c r="Y35">
        <f t="shared" si="11"/>
        <v>0.8132803318441818</v>
      </c>
      <c r="Z35">
        <f t="shared" si="11"/>
        <v>3.9551143469334735</v>
      </c>
      <c r="AA35">
        <f t="shared" si="11"/>
        <v>4.5712548471912884</v>
      </c>
      <c r="AB35">
        <f t="shared" si="11"/>
        <v>7.1230006903451564</v>
      </c>
      <c r="AC35">
        <f t="shared" si="11"/>
        <v>6.2844717669060479</v>
      </c>
      <c r="AD35">
        <f t="shared" si="11"/>
        <v>2.7561073258705151</v>
      </c>
      <c r="AE35">
        <f t="shared" si="11"/>
        <v>5.8888116023067223</v>
      </c>
      <c r="AF35">
        <f t="shared" si="11"/>
        <v>2.9106699400873564</v>
      </c>
      <c r="AG35">
        <f t="shared" si="11"/>
        <v>7.4840688415881456</v>
      </c>
      <c r="AH35">
        <f t="shared" si="11"/>
        <v>6.0536439468139562</v>
      </c>
      <c r="AI35">
        <f t="shared" si="11"/>
        <v>5.4148106650853922</v>
      </c>
      <c r="AJ35">
        <f t="shared" si="11"/>
        <v>3.8048655690015889</v>
      </c>
      <c r="AK35">
        <f t="shared" si="11"/>
        <v>3.3125076368064437</v>
      </c>
      <c r="AL35">
        <f t="shared" si="11"/>
        <v>2.8170509954044798</v>
      </c>
      <c r="AM35">
        <f t="shared" si="11"/>
        <v>5.8048991037754103</v>
      </c>
      <c r="AN35">
        <f t="shared" si="11"/>
        <v>2.7901727850649847</v>
      </c>
      <c r="AO35">
        <f t="shared" si="11"/>
        <v>6.3935050066513082</v>
      </c>
      <c r="AP35">
        <f t="shared" si="11"/>
        <v>3.7620181985902064</v>
      </c>
      <c r="AQ35">
        <f t="shared" si="11"/>
        <v>4.2975926233475956</v>
      </c>
      <c r="AR35">
        <f t="shared" si="11"/>
        <v>5.4441166953454712</v>
      </c>
      <c r="AS35">
        <f t="shared" si="11"/>
        <v>5.0688792653694446</v>
      </c>
      <c r="AT35">
        <f t="shared" si="11"/>
        <v>3.1525077077663068</v>
      </c>
      <c r="AU35">
        <f t="shared" si="11"/>
        <v>3.7187408495039374</v>
      </c>
      <c r="AV35">
        <f t="shared" si="11"/>
        <v>7.2767299878072453</v>
      </c>
      <c r="AW35">
        <f t="shared" si="11"/>
        <v>28.994859226047694</v>
      </c>
    </row>
    <row r="58" spans="5:46" x14ac:dyDescent="0.35">
      <c r="E58">
        <v>0.5</v>
      </c>
      <c r="F58">
        <v>0.5</v>
      </c>
      <c r="G58">
        <v>0.5</v>
      </c>
      <c r="H58">
        <v>0.5</v>
      </c>
      <c r="I58">
        <v>0.5</v>
      </c>
      <c r="J58">
        <v>0.5</v>
      </c>
      <c r="K58">
        <v>0.5</v>
      </c>
      <c r="L58">
        <v>0.5</v>
      </c>
      <c r="M58">
        <v>0.5</v>
      </c>
      <c r="N58">
        <v>0.5</v>
      </c>
      <c r="O58">
        <v>0.5</v>
      </c>
      <c r="P58">
        <v>0.5</v>
      </c>
      <c r="Q58">
        <v>0.5</v>
      </c>
      <c r="R58">
        <v>0.5</v>
      </c>
      <c r="S58">
        <v>0.5</v>
      </c>
      <c r="T58">
        <v>0.5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0.5</v>
      </c>
      <c r="AI58">
        <v>0.5</v>
      </c>
      <c r="AJ58">
        <v>0.5</v>
      </c>
      <c r="AK58">
        <v>0.5</v>
      </c>
      <c r="AL58">
        <v>0.5</v>
      </c>
      <c r="AM58">
        <v>0.5</v>
      </c>
      <c r="AN58">
        <v>0.5</v>
      </c>
      <c r="AO58">
        <v>0.5</v>
      </c>
      <c r="AP58">
        <v>0.5</v>
      </c>
      <c r="AQ58">
        <v>0.5</v>
      </c>
      <c r="AR58">
        <v>0.5</v>
      </c>
      <c r="AS58">
        <v>0.5</v>
      </c>
      <c r="AT58">
        <v>0.5</v>
      </c>
    </row>
    <row r="65" spans="6:47" x14ac:dyDescent="0.35"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>
        <v>2</v>
      </c>
      <c r="V65">
        <v>2</v>
      </c>
      <c r="W65">
        <v>2</v>
      </c>
      <c r="X65">
        <v>2</v>
      </c>
      <c r="Y65">
        <v>2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0.5</v>
      </c>
      <c r="AI65">
        <v>0.5</v>
      </c>
      <c r="AJ65">
        <v>0.5</v>
      </c>
      <c r="AK65">
        <v>0.5</v>
      </c>
      <c r="AL65">
        <v>0.5</v>
      </c>
      <c r="AM65">
        <v>0.5</v>
      </c>
      <c r="AN65">
        <v>0.5</v>
      </c>
      <c r="AO65">
        <v>0.5</v>
      </c>
      <c r="AP65">
        <v>0.5</v>
      </c>
      <c r="AQ65">
        <v>0.5</v>
      </c>
      <c r="AR65">
        <v>0.5</v>
      </c>
      <c r="AS65">
        <v>0.5</v>
      </c>
      <c r="AT65">
        <v>0.5</v>
      </c>
      <c r="AU65">
        <v>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 Perez</dc:creator>
  <cp:lastModifiedBy>Maria C Perez</cp:lastModifiedBy>
  <dcterms:created xsi:type="dcterms:W3CDTF">2024-05-03T19:44:26Z</dcterms:created>
  <dcterms:modified xsi:type="dcterms:W3CDTF">2024-05-16T02:23:11Z</dcterms:modified>
</cp:coreProperties>
</file>